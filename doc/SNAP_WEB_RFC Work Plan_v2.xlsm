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K14" i="2"/>
  <c r="L14"/>
  <c r="K16"/>
  <c r="K7"/>
  <c r="K13"/>
  <c r="K6"/>
  <c r="L16"/>
  <c r="K9"/>
  <c r="K18"/>
  <c r="J24"/>
  <c r="L12"/>
  <c r="L10"/>
  <c r="L6"/>
  <c r="L7"/>
  <c r="N24"/>
  <c r="L9"/>
  <c r="L15"/>
  <c r="K8"/>
  <c r="J31"/>
  <c r="L11"/>
  <c r="K10"/>
  <c r="K12"/>
  <c r="N25"/>
  <c r="M24"/>
  <c r="K17"/>
  <c r="L8"/>
  <c r="K15"/>
  <c r="J6"/>
  <c r="L13"/>
  <c r="L17"/>
  <c r="M25"/>
  <c r="K11"/>
  <c r="L18"/>
  <c r="J25"/>
  <c r="J7"/>
  <c r="J8"/>
  <c r="J9"/>
  <c r="J10"/>
  <c r="J11"/>
  <c r="J12"/>
  <c r="J13"/>
  <c r="J14" s="1"/>
  <c r="J15"/>
  <c r="J16"/>
  <c r="J17"/>
  <c r="J18"/>
  <c r="A14" l="1"/>
  <c r="A18"/>
  <c r="A17"/>
  <c r="A16"/>
  <c r="A15"/>
  <c r="A13"/>
  <c r="A12"/>
  <c r="A11"/>
  <c r="A10"/>
  <c r="A9"/>
  <c r="A8"/>
  <c r="A7"/>
  <c r="A25"/>
  <c r="A6"/>
  <c r="D26"/>
  <c r="D27"/>
  <c r="A31"/>
  <c r="E26"/>
  <c r="E27"/>
  <c r="E20"/>
  <c r="E19"/>
  <c r="A24"/>
  <c r="D19"/>
  <c r="D20"/>
</calcChain>
</file>

<file path=xl/sharedStrings.xml><?xml version="1.0" encoding="utf-8"?>
<sst xmlns="http://schemas.openxmlformats.org/spreadsheetml/2006/main" count="88" uniqueCount="66">
  <si>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</si>
  <si>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</si>
  <si>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</si>
  <si>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</si>
  <si>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</si>
  <si>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</si>
  <si>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</si>
  <si>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</si>
  <si>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</si>
  <si>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</si>
  <si>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</si>
  <si>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</si>
  <si>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</si>
  <si>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</si>
  <si>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</si>
  <si>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</si>
  <si>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</si>
  <si>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</si>
  <si>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</si>
  <si>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</si>
  <si>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</si>
  <si>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</si>
  <si>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</si>
  <si>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</si>
  <si>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</si>
  <si>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</si>
  <si>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</si>
  <si>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</si>
  <si>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</si>
  <si>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</si>
  <si>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</si>
  <si>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</si>
  <si>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</si>
  <si>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</si>
  <si>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</si>
  <si>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</si>
  <si>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</si>
  <si>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</si>
  <si>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</si>
  <si>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</si>
  <si>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</si>
  <si>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</si>
  <si>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</si>
  <si>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</si>
  <si>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</si>
  <si>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Point the file path to IIS Web Servers</t>
  </si>
  <si>
    <t>Configure virtual directory access permission</t>
  </si>
  <si>
    <t>Configure web.config to match your environment - &lt;Apollo.CA.DirectoryServices&gt;&lt;LDAP.Connection&gt; section</t>
  </si>
  <si>
    <t>Configure web.config to match your environment - &lt;Apollo.CA.DirectoryServices&gt;&lt;LDAP.ConnectionAdam&gt; section</t>
  </si>
  <si>
    <t>Create a virtual directory and call it snap</t>
  </si>
  <si>
    <t>See attachment, Fig 3</t>
  </si>
  <si>
    <t>same as cap</t>
  </si>
  <si>
    <t>AIM release team</t>
  </si>
  <si>
    <t>Copy \\awhpst11.apollogrp.edu\snap\1.0.0\snap\*.* to IIS Web Servers d:\inetpub\wwwroot\snap\1.0</t>
  </si>
  <si>
    <t>Delete the virtual directory from IIS Manager</t>
  </si>
  <si>
    <t>Delete the files pointing by the virtual directory d:\inetpub\wwwroot\snap\1.0</t>
  </si>
  <si>
    <t>Configure web.configto match your environment - &lt;add key="SDLink" …&gt; . Comment out Sdlinks that do not match your environment</t>
  </si>
  <si>
    <t>See attachment, Fig 1,2</t>
  </si>
  <si>
    <t>See attachment, Fig 4</t>
  </si>
  <si>
    <t>See attacgnebt, Fig 5</t>
  </si>
  <si>
    <t>Configure web.config to match PROD ONLY!! - &lt;add key="SendAllEmailToAIM" value="false"&gt;</t>
  </si>
  <si>
    <t>Copy log4net.snap.config to c:\caplogs</t>
  </si>
  <si>
    <t>Configure (UNCOMMENT) web.config to match your environment - &lt;add key="EnvironmentPath"  value= "access.qaapollogrp.edu/snap/" /&gt; for QA  &lt;add key="EnvironmentPath"  value= "access.apollogrp.edu/snap/" /&gt; for PROD</t>
  </si>
  <si>
    <t>Set default content page to "Default.aspx"</t>
  </si>
  <si>
    <t xml:space="preserve">Configure (UNCOMMENT) web.config to match your environment - point to the right database connection string (name="Apollo.AIM.SNAP.Properties.Settings.Apollo_AIM_SNAPConnectionString")
</t>
  </si>
  <si>
    <t>Change Connection String PASSWORD per environment (Jon Lehtinen has in pword safe)</t>
  </si>
</sst>
</file>

<file path=xl/styles.xml><?xml version="1.0" encoding="utf-8"?>
<styleSheet xmlns="http://schemas.openxmlformats.org/spreadsheetml/2006/main">
  <numFmts count="1">
    <numFmt numFmtId="164" formatCode="[h]:mm:ss;@"/>
  </numFmts>
  <fonts count="13">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
      <sz val="11"/>
      <color rgb="FF1F497D"/>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9">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12" fillId="0" borderId="1" xfId="0" applyFont="1" applyBorder="1" applyAlignment="1" applyProtection="1">
      <alignment horizontal="left" vertical="top" wrapText="1"/>
      <protection locked="0"/>
    </xf>
    <xf numFmtId="0" fontId="0" fillId="3" borderId="1" xfId="0" applyFill="1" applyBorder="1" applyAlignment="1" applyProtection="1">
      <alignment horizontal="left" vertical="top" wrapText="1"/>
      <protection locked="0"/>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9" t="s">
        <v>41</v>
      </c>
      <c r="E7" s="40"/>
      <c r="F7" s="40"/>
      <c r="G7" s="40"/>
      <c r="H7" s="40"/>
      <c r="I7" s="40"/>
      <c r="J7" s="40"/>
      <c r="K7" s="40"/>
      <c r="L7" s="40"/>
      <c r="M7" s="40"/>
      <c r="N7" s="40"/>
    </row>
    <row r="8" spans="4:14">
      <c r="D8" s="40"/>
      <c r="E8" s="40"/>
      <c r="F8" s="40"/>
      <c r="G8" s="40"/>
      <c r="H8" s="40"/>
      <c r="I8" s="40"/>
      <c r="J8" s="40"/>
      <c r="K8" s="40"/>
      <c r="L8" s="40"/>
      <c r="M8" s="40"/>
      <c r="N8" s="40"/>
    </row>
    <row r="9" spans="4:14">
      <c r="D9" s="40"/>
      <c r="E9" s="40"/>
      <c r="F9" s="40"/>
      <c r="G9" s="40"/>
      <c r="H9" s="40"/>
      <c r="I9" s="40"/>
      <c r="J9" s="40"/>
      <c r="K9" s="40"/>
      <c r="L9" s="40"/>
      <c r="M9" s="40"/>
      <c r="N9" s="40"/>
    </row>
    <row r="10" spans="4:14">
      <c r="D10" s="40"/>
      <c r="E10" s="40"/>
      <c r="F10" s="40"/>
      <c r="G10" s="40"/>
      <c r="H10" s="40"/>
      <c r="I10" s="40"/>
      <c r="J10" s="40"/>
      <c r="K10" s="40"/>
      <c r="L10" s="40"/>
      <c r="M10" s="40"/>
      <c r="N10" s="40"/>
    </row>
    <row r="11" spans="4:14">
      <c r="D11" s="40"/>
      <c r="E11" s="40"/>
      <c r="F11" s="40"/>
      <c r="G11" s="40"/>
      <c r="H11" s="40"/>
      <c r="I11" s="40"/>
      <c r="J11" s="40"/>
      <c r="K11" s="40"/>
      <c r="L11" s="40"/>
      <c r="M11" s="40"/>
      <c r="N11" s="40"/>
    </row>
    <row r="12" spans="4:14">
      <c r="D12" s="40"/>
      <c r="E12" s="40"/>
      <c r="F12" s="40"/>
      <c r="G12" s="40"/>
      <c r="H12" s="40"/>
      <c r="I12" s="40"/>
      <c r="J12" s="40"/>
      <c r="K12" s="40"/>
      <c r="L12" s="40"/>
      <c r="M12" s="40"/>
      <c r="N12" s="40"/>
    </row>
    <row r="13" spans="4:14">
      <c r="D13" s="40"/>
      <c r="E13" s="40"/>
      <c r="F13" s="40"/>
      <c r="G13" s="40"/>
      <c r="H13" s="40"/>
      <c r="I13" s="40"/>
      <c r="J13" s="40"/>
      <c r="K13" s="40"/>
      <c r="L13" s="40"/>
      <c r="M13" s="40"/>
      <c r="N13" s="40"/>
    </row>
    <row r="14" spans="4:14">
      <c r="D14" s="40"/>
      <c r="E14" s="40"/>
      <c r="F14" s="40"/>
      <c r="G14" s="40"/>
      <c r="H14" s="40"/>
      <c r="I14" s="40"/>
      <c r="J14" s="40"/>
      <c r="K14" s="40"/>
      <c r="L14" s="40"/>
      <c r="M14" s="40"/>
      <c r="N14" s="40"/>
    </row>
    <row r="15" spans="4:14">
      <c r="D15" s="40"/>
      <c r="E15" s="40"/>
      <c r="F15" s="40"/>
      <c r="G15" s="40"/>
      <c r="H15" s="40"/>
      <c r="I15" s="40"/>
      <c r="J15" s="40"/>
      <c r="K15" s="40"/>
      <c r="L15" s="40"/>
      <c r="M15" s="40"/>
      <c r="N15" s="40"/>
    </row>
    <row r="16" spans="4:14">
      <c r="D16" s="40"/>
      <c r="E16" s="40"/>
      <c r="F16" s="40"/>
      <c r="G16" s="40"/>
      <c r="H16" s="40"/>
      <c r="I16" s="40"/>
      <c r="J16" s="40"/>
      <c r="K16" s="40"/>
      <c r="L16" s="40"/>
      <c r="M16" s="40"/>
      <c r="N16" s="40"/>
    </row>
    <row r="17" spans="4:14">
      <c r="D17" s="40"/>
      <c r="E17" s="40"/>
      <c r="F17" s="40"/>
      <c r="G17" s="40"/>
      <c r="H17" s="40"/>
      <c r="I17" s="40"/>
      <c r="J17" s="40"/>
      <c r="K17" s="40"/>
      <c r="L17" s="40"/>
      <c r="M17" s="40"/>
      <c r="N17" s="40"/>
    </row>
    <row r="18" spans="4:14">
      <c r="D18" s="40"/>
      <c r="E18" s="40"/>
      <c r="F18" s="40"/>
      <c r="G18" s="40"/>
      <c r="H18" s="40"/>
      <c r="I18" s="40"/>
      <c r="J18" s="40"/>
      <c r="K18" s="40"/>
      <c r="L18" s="40"/>
      <c r="M18" s="40"/>
      <c r="N18" s="40"/>
    </row>
    <row r="19" spans="4:14">
      <c r="D19" s="40"/>
      <c r="E19" s="40"/>
      <c r="F19" s="40"/>
      <c r="G19" s="40"/>
      <c r="H19" s="40"/>
      <c r="I19" s="40"/>
      <c r="J19" s="40"/>
      <c r="K19" s="40"/>
      <c r="L19" s="40"/>
      <c r="M19" s="40"/>
      <c r="N19" s="40"/>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4"/>
  <sheetViews>
    <sheetView workbookViewId="0">
      <selection activeCell="B14" sqref="B14"/>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2" t="s">
        <v>44</v>
      </c>
      <c r="D1" s="43"/>
      <c r="E1" s="44"/>
      <c r="F1" s="35"/>
      <c r="J1" s="14" t="s">
        <v>1</v>
      </c>
      <c r="K1" s="14" t="s">
        <v>2</v>
      </c>
      <c r="L1" s="14" t="s">
        <v>3</v>
      </c>
      <c r="M1" s="14" t="s">
        <v>4</v>
      </c>
      <c r="N1" s="14" t="s">
        <v>5</v>
      </c>
      <c r="R1" s="14"/>
    </row>
    <row r="2" spans="1:18">
      <c r="A2" s="37">
        <v>100496</v>
      </c>
      <c r="B2" s="3"/>
      <c r="C2" s="13"/>
      <c r="D2" s="35"/>
      <c r="E2" s="35"/>
      <c r="F2" s="35"/>
    </row>
    <row r="3" spans="1:18">
      <c r="A3" s="35"/>
      <c r="B3" s="13"/>
      <c r="C3" s="35"/>
      <c r="D3" s="35"/>
      <c r="E3" s="35"/>
      <c r="F3" s="35"/>
    </row>
    <row r="4" spans="1:18" s="5" customFormat="1">
      <c r="A4" s="4" t="s">
        <v>6</v>
      </c>
      <c r="B4" s="45" t="s">
        <v>7</v>
      </c>
      <c r="C4" s="45"/>
      <c r="D4" s="45"/>
      <c r="E4" s="45"/>
      <c r="F4" s="45"/>
      <c r="J4" s="15"/>
      <c r="K4" s="15"/>
      <c r="L4" s="15"/>
      <c r="M4" s="15"/>
      <c r="N4" s="15"/>
    </row>
    <row r="5" spans="1:18" ht="30">
      <c r="A5" s="36" t="s">
        <v>8</v>
      </c>
      <c r="B5" s="36" t="s">
        <v>9</v>
      </c>
      <c r="C5" s="36" t="s">
        <v>10</v>
      </c>
      <c r="D5" s="36" t="s">
        <v>11</v>
      </c>
      <c r="E5" s="36" t="s">
        <v>12</v>
      </c>
      <c r="F5" s="36" t="s">
        <v>13</v>
      </c>
      <c r="J5" s="14">
        <v>0</v>
      </c>
    </row>
    <row r="6" spans="1:18" s="8" customFormat="1" ht="30">
      <c r="A6" s="6">
        <f t="shared" ref="A6:A10" ca="1" si="0">J6</f>
        <v>1</v>
      </c>
      <c r="B6" s="24" t="s">
        <v>53</v>
      </c>
      <c r="C6" s="24" t="s">
        <v>52</v>
      </c>
      <c r="D6" s="7"/>
      <c r="E6" s="7"/>
      <c r="F6" s="24"/>
      <c r="J6" s="14">
        <f ca="1">INDIRECT(ADDRESS(ROW()-1,COLUMN()))+1</f>
        <v>1</v>
      </c>
      <c r="K6" s="16">
        <f ca="1">(INDIRECT("D"&amp;ROW()))</f>
        <v>0</v>
      </c>
      <c r="L6" s="18">
        <f ca="1">(INDIRECT("E"&amp;ROW()))</f>
        <v>0</v>
      </c>
      <c r="M6" s="16"/>
      <c r="N6" s="16"/>
    </row>
    <row r="7" spans="1:18" s="8" customFormat="1">
      <c r="A7" s="6">
        <f t="shared" ca="1" si="0"/>
        <v>2</v>
      </c>
      <c r="B7" s="24" t="s">
        <v>49</v>
      </c>
      <c r="C7" s="25" t="s">
        <v>52</v>
      </c>
      <c r="D7" s="7"/>
      <c r="E7" s="7"/>
      <c r="F7" s="24" t="s">
        <v>57</v>
      </c>
      <c r="J7" s="14">
        <f t="shared" ref="J7:J18" ca="1" si="1">INDIRECT(ADDRESS(ROW()-1,COLUMN()))+1</f>
        <v>2</v>
      </c>
      <c r="K7" s="16">
        <f ca="1">(INDIRECT("D"&amp;ROW()))</f>
        <v>0</v>
      </c>
      <c r="L7" s="18">
        <f ca="1">(INDIRECT("E"&amp;ROW()))</f>
        <v>0</v>
      </c>
      <c r="M7" s="16"/>
      <c r="N7" s="16"/>
    </row>
    <row r="8" spans="1:18" s="8" customFormat="1">
      <c r="A8" s="6">
        <f t="shared" ca="1" si="0"/>
        <v>3</v>
      </c>
      <c r="B8" s="24" t="s">
        <v>45</v>
      </c>
      <c r="C8" s="25" t="s">
        <v>52</v>
      </c>
      <c r="D8" s="7"/>
      <c r="E8" s="7"/>
      <c r="F8" s="24" t="s">
        <v>50</v>
      </c>
      <c r="J8" s="14">
        <f t="shared" ca="1" si="1"/>
        <v>3</v>
      </c>
      <c r="K8" s="16">
        <f ca="1">(INDIRECT("D"&amp;ROW()))</f>
        <v>0</v>
      </c>
      <c r="L8" s="18">
        <f ca="1">(INDIRECT("E"&amp;ROW()))</f>
        <v>0</v>
      </c>
      <c r="M8" s="16"/>
      <c r="N8" s="16"/>
    </row>
    <row r="9" spans="1:18" s="8" customFormat="1">
      <c r="A9" s="6">
        <f t="shared" ca="1" si="0"/>
        <v>4</v>
      </c>
      <c r="B9" s="24" t="s">
        <v>46</v>
      </c>
      <c r="C9" s="25" t="s">
        <v>52</v>
      </c>
      <c r="D9" s="7"/>
      <c r="E9" s="7"/>
      <c r="F9" s="24" t="s">
        <v>58</v>
      </c>
      <c r="J9" s="14">
        <f t="shared" ca="1" si="1"/>
        <v>4</v>
      </c>
      <c r="K9" s="16">
        <f ca="1">(INDIRECT("D"&amp;ROW()))</f>
        <v>0</v>
      </c>
      <c r="L9" s="18">
        <f ca="1">(INDIRECT("E"&amp;ROW()))</f>
        <v>0</v>
      </c>
      <c r="M9" s="16"/>
      <c r="N9" s="16"/>
    </row>
    <row r="10" spans="1:18" s="8" customFormat="1">
      <c r="A10" s="6">
        <f t="shared" ca="1" si="0"/>
        <v>5</v>
      </c>
      <c r="B10" s="24" t="s">
        <v>63</v>
      </c>
      <c r="C10" s="25" t="s">
        <v>52</v>
      </c>
      <c r="D10" s="7"/>
      <c r="E10" s="7"/>
      <c r="F10" s="24" t="s">
        <v>59</v>
      </c>
      <c r="J10" s="14">
        <f t="shared" ca="1" si="1"/>
        <v>5</v>
      </c>
      <c r="K10" s="16">
        <f ca="1">(INDIRECT("D"&amp;ROW()))</f>
        <v>0</v>
      </c>
      <c r="L10" s="18">
        <f ca="1">(INDIRECT("E"&amp;ROW()))</f>
        <v>0</v>
      </c>
      <c r="M10" s="16"/>
      <c r="N10" s="16"/>
    </row>
    <row r="11" spans="1:18" s="8" customFormat="1">
      <c r="A11" s="6">
        <f t="shared" ref="A11:A12" ca="1" si="2">J11</f>
        <v>6</v>
      </c>
      <c r="B11" s="24" t="s">
        <v>61</v>
      </c>
      <c r="C11" s="25" t="s">
        <v>52</v>
      </c>
      <c r="D11" s="7"/>
      <c r="E11" s="7"/>
      <c r="F11" s="24"/>
      <c r="J11" s="14">
        <f t="shared" ca="1" si="1"/>
        <v>6</v>
      </c>
      <c r="K11" s="16">
        <f t="shared" ref="K11:K18" ca="1" si="3">(INDIRECT("D"&amp;ROW()))</f>
        <v>0</v>
      </c>
      <c r="L11" s="18">
        <f t="shared" ref="L11:L18" ca="1" si="4">(INDIRECT("E"&amp;ROW()))</f>
        <v>0</v>
      </c>
      <c r="M11" s="16"/>
      <c r="N11" s="16"/>
    </row>
    <row r="12" spans="1:18" s="8" customFormat="1" ht="45">
      <c r="A12" s="6">
        <f t="shared" ca="1" si="2"/>
        <v>7</v>
      </c>
      <c r="B12" s="24" t="s">
        <v>62</v>
      </c>
      <c r="C12" s="25" t="s">
        <v>52</v>
      </c>
      <c r="D12" s="7"/>
      <c r="E12" s="7"/>
      <c r="F12" s="24"/>
      <c r="J12" s="14">
        <f t="shared" ca="1" si="1"/>
        <v>7</v>
      </c>
      <c r="K12" s="16">
        <f t="shared" ca="1" si="3"/>
        <v>0</v>
      </c>
      <c r="L12" s="18">
        <f t="shared" ca="1" si="4"/>
        <v>0</v>
      </c>
      <c r="M12" s="16"/>
      <c r="N12" s="16"/>
    </row>
    <row r="13" spans="1:18" s="8" customFormat="1" ht="75">
      <c r="A13" s="6">
        <f t="shared" ref="A13:A18" ca="1" si="5">J13</f>
        <v>8</v>
      </c>
      <c r="B13" s="24" t="s">
        <v>64</v>
      </c>
      <c r="C13" s="25" t="s">
        <v>52</v>
      </c>
      <c r="D13" s="7"/>
      <c r="E13" s="7"/>
      <c r="F13" s="24"/>
      <c r="J13" s="14">
        <f t="shared" ca="1" si="1"/>
        <v>8</v>
      </c>
      <c r="K13" s="16">
        <f t="shared" ca="1" si="3"/>
        <v>0</v>
      </c>
      <c r="L13" s="18">
        <f t="shared" ca="1" si="4"/>
        <v>0</v>
      </c>
      <c r="M13" s="16"/>
      <c r="N13" s="16"/>
    </row>
    <row r="14" spans="1:18" s="8" customFormat="1" ht="30">
      <c r="A14" s="6">
        <f t="shared" ref="A14" ca="1" si="6">J14</f>
        <v>9</v>
      </c>
      <c r="B14" s="24" t="s">
        <v>65</v>
      </c>
      <c r="C14" s="25"/>
      <c r="D14" s="7"/>
      <c r="E14" s="7"/>
      <c r="F14" s="24"/>
      <c r="J14" s="14">
        <f t="shared" ca="1" si="1"/>
        <v>9</v>
      </c>
      <c r="K14" s="16">
        <f t="shared" ca="1" si="3"/>
        <v>0</v>
      </c>
      <c r="L14" s="18">
        <f t="shared" ca="1" si="4"/>
        <v>0</v>
      </c>
      <c r="M14" s="16"/>
      <c r="N14" s="16"/>
    </row>
    <row r="15" spans="1:18" s="8" customFormat="1" ht="30">
      <c r="A15" s="6">
        <f t="shared" ca="1" si="5"/>
        <v>10</v>
      </c>
      <c r="B15" s="24" t="s">
        <v>47</v>
      </c>
      <c r="C15" s="25" t="s">
        <v>52</v>
      </c>
      <c r="D15" s="7"/>
      <c r="E15" s="7"/>
      <c r="F15" s="24" t="s">
        <v>51</v>
      </c>
      <c r="J15" s="14">
        <f t="shared" ca="1" si="1"/>
        <v>10</v>
      </c>
      <c r="K15" s="16">
        <f t="shared" ca="1" si="3"/>
        <v>0</v>
      </c>
      <c r="L15" s="18">
        <f t="shared" ca="1" si="4"/>
        <v>0</v>
      </c>
      <c r="M15" s="16"/>
      <c r="N15" s="16"/>
    </row>
    <row r="16" spans="1:18" s="8" customFormat="1" ht="30">
      <c r="A16" s="6">
        <f t="shared" ca="1" si="5"/>
        <v>11</v>
      </c>
      <c r="B16" s="24" t="s">
        <v>48</v>
      </c>
      <c r="C16" s="25" t="s">
        <v>52</v>
      </c>
      <c r="D16" s="7"/>
      <c r="E16" s="7"/>
      <c r="F16" s="24" t="s">
        <v>51</v>
      </c>
      <c r="J16" s="14">
        <f t="shared" ca="1" si="1"/>
        <v>11</v>
      </c>
      <c r="K16" s="16">
        <f t="shared" ca="1" si="3"/>
        <v>0</v>
      </c>
      <c r="L16" s="18">
        <f t="shared" ca="1" si="4"/>
        <v>0</v>
      </c>
      <c r="M16" s="16"/>
      <c r="N16" s="16"/>
    </row>
    <row r="17" spans="1:14" s="8" customFormat="1" ht="30">
      <c r="A17" s="6">
        <f t="shared" ca="1" si="5"/>
        <v>12</v>
      </c>
      <c r="B17" s="24" t="s">
        <v>56</v>
      </c>
      <c r="C17" s="25"/>
      <c r="D17" s="7"/>
      <c r="E17" s="7"/>
      <c r="F17" s="24"/>
      <c r="J17" s="14">
        <f t="shared" ca="1" si="1"/>
        <v>12</v>
      </c>
      <c r="K17" s="16">
        <f t="shared" ca="1" si="3"/>
        <v>0</v>
      </c>
      <c r="L17" s="18">
        <f t="shared" ca="1" si="4"/>
        <v>0</v>
      </c>
      <c r="M17" s="16"/>
      <c r="N17" s="16"/>
    </row>
    <row r="18" spans="1:14" s="8" customFormat="1" ht="30">
      <c r="A18" s="6">
        <f t="shared" ca="1" si="5"/>
        <v>13</v>
      </c>
      <c r="B18" s="24" t="s">
        <v>60</v>
      </c>
      <c r="C18" s="24"/>
      <c r="D18" s="7"/>
      <c r="E18" s="7"/>
      <c r="F18" s="24"/>
      <c r="J18" s="14">
        <f t="shared" ca="1" si="1"/>
        <v>13</v>
      </c>
      <c r="K18" s="16">
        <f t="shared" ca="1" si="3"/>
        <v>0</v>
      </c>
      <c r="L18" s="18">
        <f t="shared" ca="1" si="4"/>
        <v>0</v>
      </c>
      <c r="M18" s="16"/>
      <c r="N18" s="16"/>
    </row>
    <row r="19" spans="1:14" s="8" customFormat="1">
      <c r="A19" s="35"/>
      <c r="B19" s="38"/>
      <c r="C19" s="9" t="s">
        <v>14</v>
      </c>
      <c r="D19" s="23">
        <f ca="1">SUM($K$2:$K$1004)</f>
        <v>0</v>
      </c>
      <c r="E19" s="23">
        <f ca="1">SUM($L$2:$L$1004)</f>
        <v>0</v>
      </c>
      <c r="F19" s="35"/>
      <c r="J19" s="14"/>
      <c r="K19" s="16"/>
      <c r="L19" s="16"/>
      <c r="M19" s="16"/>
      <c r="N19" s="16"/>
    </row>
    <row r="20" spans="1:14" s="8" customFormat="1">
      <c r="A20" s="35"/>
      <c r="B20" s="35"/>
      <c r="C20" s="9" t="s">
        <v>15</v>
      </c>
      <c r="D20" s="10">
        <f ca="1">SUM($K$2:$K$1004)/1440</f>
        <v>0</v>
      </c>
      <c r="E20" s="10">
        <f ca="1">SUM($L$2:$L$1004)/1440</f>
        <v>0</v>
      </c>
      <c r="F20" s="35"/>
      <c r="G20" s="11"/>
      <c r="J20" s="14"/>
      <c r="K20" s="16"/>
      <c r="L20" s="16"/>
      <c r="M20" s="16"/>
      <c r="N20" s="16"/>
    </row>
    <row r="21" spans="1:14">
      <c r="A21" s="35"/>
      <c r="B21" s="35"/>
      <c r="C21" s="35"/>
      <c r="D21" s="13"/>
      <c r="E21" s="13"/>
      <c r="F21" s="35"/>
      <c r="M21" s="16"/>
    </row>
    <row r="22" spans="1:14">
      <c r="A22" s="4" t="s">
        <v>16</v>
      </c>
      <c r="B22" s="45" t="s">
        <v>17</v>
      </c>
      <c r="C22" s="45"/>
      <c r="D22" s="45"/>
      <c r="E22" s="45"/>
      <c r="F22" s="45"/>
      <c r="M22" s="16"/>
    </row>
    <row r="23" spans="1:14" ht="30">
      <c r="A23" s="36" t="s">
        <v>8</v>
      </c>
      <c r="B23" s="36" t="s">
        <v>9</v>
      </c>
      <c r="C23" s="36" t="s">
        <v>10</v>
      </c>
      <c r="D23" s="36" t="s">
        <v>11</v>
      </c>
      <c r="E23" s="36" t="s">
        <v>12</v>
      </c>
      <c r="F23" s="36" t="s">
        <v>13</v>
      </c>
      <c r="J23" s="14">
        <v>0</v>
      </c>
      <c r="M23" s="16"/>
    </row>
    <row r="24" spans="1:14">
      <c r="A24" s="12">
        <f ca="1">J24</f>
        <v>1</v>
      </c>
      <c r="B24" s="24" t="s">
        <v>54</v>
      </c>
      <c r="C24" s="24"/>
      <c r="D24" s="7"/>
      <c r="E24" s="7"/>
      <c r="F24" s="24"/>
      <c r="J24" s="14">
        <f ca="1">INDIRECT(ADDRESS(ROW()-1,COLUMN()))+1</f>
        <v>1</v>
      </c>
      <c r="K24" s="18"/>
      <c r="L24" s="18"/>
      <c r="M24" s="16">
        <f ca="1">(INDIRECT("D"&amp;ROW()))</f>
        <v>0</v>
      </c>
      <c r="N24" s="18">
        <f ca="1">(INDIRECT("E"&amp;ROW()))</f>
        <v>0</v>
      </c>
    </row>
    <row r="25" spans="1:14">
      <c r="A25" s="12">
        <f t="shared" ref="A25" ca="1" si="7">J25</f>
        <v>2</v>
      </c>
      <c r="B25" s="24" t="s">
        <v>55</v>
      </c>
      <c r="C25" s="24"/>
      <c r="D25" s="7"/>
      <c r="E25" s="7"/>
      <c r="F25" s="24"/>
      <c r="J25" s="14">
        <f t="shared" ref="J25" ca="1" si="8">INDIRECT(ADDRESS(ROW()-1,COLUMN()))+1</f>
        <v>2</v>
      </c>
      <c r="K25" s="18"/>
      <c r="L25" s="18"/>
      <c r="M25" s="16">
        <f ca="1">(INDIRECT("D"&amp;ROW()))</f>
        <v>0</v>
      </c>
      <c r="N25" s="18">
        <f ca="1">(INDIRECT("E"&amp;ROW()))</f>
        <v>0</v>
      </c>
    </row>
    <row r="26" spans="1:14" s="8" customFormat="1">
      <c r="A26" s="35"/>
      <c r="B26" s="35"/>
      <c r="C26" s="9" t="s">
        <v>14</v>
      </c>
      <c r="D26" s="23">
        <f ca="1">SUM($M$2:$M$1004)</f>
        <v>0</v>
      </c>
      <c r="E26" s="23">
        <f ca="1">SUM($N$2:$N$1004)</f>
        <v>0</v>
      </c>
      <c r="F26" s="35"/>
      <c r="J26" s="14"/>
      <c r="K26" s="18"/>
      <c r="L26" s="18"/>
      <c r="M26" s="17"/>
      <c r="N26" s="17"/>
    </row>
    <row r="27" spans="1:14" s="8" customFormat="1">
      <c r="A27" s="35"/>
      <c r="B27" s="35"/>
      <c r="C27" s="9" t="s">
        <v>15</v>
      </c>
      <c r="D27" s="10">
        <f ca="1">SUM($M$2:$M$1004)/1440</f>
        <v>0</v>
      </c>
      <c r="E27" s="10">
        <f ca="1">SUM($N$2:$N$1004)/1440</f>
        <v>0</v>
      </c>
      <c r="F27" s="35"/>
      <c r="G27" s="11"/>
      <c r="J27" s="14"/>
      <c r="K27" s="18"/>
      <c r="L27" s="18"/>
      <c r="M27" s="17"/>
      <c r="N27" s="17"/>
    </row>
    <row r="28" spans="1:14">
      <c r="A28" s="35"/>
      <c r="B28" s="35"/>
      <c r="C28" s="35"/>
      <c r="D28" s="13"/>
      <c r="E28" s="13"/>
      <c r="F28" s="35"/>
    </row>
    <row r="29" spans="1:14">
      <c r="A29" s="4" t="s">
        <v>18</v>
      </c>
      <c r="B29" s="46" t="s">
        <v>17</v>
      </c>
      <c r="C29" s="47"/>
      <c r="D29" s="47"/>
      <c r="E29" s="47"/>
      <c r="F29" s="35"/>
    </row>
    <row r="30" spans="1:14">
      <c r="A30" s="4" t="s">
        <v>19</v>
      </c>
      <c r="B30" s="36" t="s">
        <v>20</v>
      </c>
      <c r="C30" s="48" t="s">
        <v>21</v>
      </c>
      <c r="D30" s="47"/>
      <c r="E30" s="47"/>
      <c r="F30" s="35"/>
      <c r="J30" s="14">
        <v>0</v>
      </c>
    </row>
    <row r="31" spans="1:14">
      <c r="A31" s="12">
        <f ca="1">J31</f>
        <v>1</v>
      </c>
      <c r="B31" s="26"/>
      <c r="C31" s="25"/>
      <c r="D31" s="27"/>
      <c r="E31" s="28"/>
      <c r="F31" s="35"/>
      <c r="J31" s="14">
        <f ca="1">INDIRECT(ADDRESS(ROW()-1,COLUMN()))+1</f>
        <v>1</v>
      </c>
    </row>
    <row r="32" spans="1:14">
      <c r="A32" s="41"/>
      <c r="B32" s="41"/>
      <c r="C32" s="35"/>
      <c r="D32" s="35"/>
      <c r="E32" s="35"/>
      <c r="F32" s="35"/>
    </row>
    <row r="33" spans="1:6">
      <c r="A33" s="41"/>
      <c r="B33" s="41"/>
      <c r="C33" s="35"/>
      <c r="D33" s="35"/>
      <c r="E33" s="35"/>
      <c r="F33" s="35"/>
    </row>
    <row r="34" spans="1:6">
      <c r="A34" s="41"/>
      <c r="B34" s="41"/>
      <c r="C34" s="35"/>
      <c r="D34" s="35"/>
      <c r="E34" s="35"/>
      <c r="F34" s="35"/>
    </row>
    <row r="35" spans="1:6">
      <c r="A35" s="41"/>
      <c r="B35" s="41"/>
      <c r="C35" s="35"/>
      <c r="D35" s="35"/>
      <c r="E35" s="35"/>
      <c r="F35" s="35"/>
    </row>
    <row r="36" spans="1:6">
      <c r="A36" s="41"/>
      <c r="B36" s="41"/>
      <c r="C36" s="35"/>
      <c r="D36" s="35"/>
      <c r="E36" s="35"/>
      <c r="F36" s="35"/>
    </row>
    <row r="37" spans="1:6">
      <c r="A37" s="41"/>
      <c r="B37" s="41"/>
      <c r="C37" s="35"/>
      <c r="D37" s="35"/>
      <c r="E37" s="35"/>
      <c r="F37" s="35"/>
    </row>
    <row r="38" spans="1:6">
      <c r="A38" s="41"/>
      <c r="B38" s="41"/>
      <c r="C38" s="35"/>
      <c r="D38" s="35"/>
      <c r="E38" s="35"/>
      <c r="F38" s="35"/>
    </row>
    <row r="39" spans="1:6">
      <c r="A39" s="41"/>
      <c r="B39" s="41"/>
      <c r="C39" s="35"/>
      <c r="D39" s="35"/>
      <c r="E39" s="35"/>
      <c r="F39" s="35"/>
    </row>
    <row r="40" spans="1:6">
      <c r="A40" s="41"/>
      <c r="B40" s="41"/>
      <c r="C40" s="35"/>
      <c r="D40" s="35"/>
      <c r="E40" s="35"/>
      <c r="F40" s="35"/>
    </row>
    <row r="41" spans="1:6">
      <c r="A41" s="41"/>
      <c r="B41" s="41"/>
      <c r="C41" s="35"/>
      <c r="D41" s="35"/>
      <c r="E41" s="35"/>
      <c r="F41" s="35"/>
    </row>
    <row r="42" spans="1:6">
      <c r="A42" s="41"/>
      <c r="B42" s="41"/>
      <c r="C42" s="35"/>
      <c r="D42" s="35"/>
      <c r="E42" s="35"/>
      <c r="F42" s="35"/>
    </row>
    <row r="43" spans="1:6">
      <c r="A43" s="41"/>
      <c r="B43" s="41"/>
      <c r="C43" s="35"/>
      <c r="D43" s="35"/>
      <c r="E43" s="35"/>
      <c r="F43" s="35"/>
    </row>
    <row r="44" spans="1:6">
      <c r="A44" s="41"/>
      <c r="B44" s="41"/>
      <c r="C44" s="35"/>
      <c r="D44" s="35"/>
      <c r="E44" s="35"/>
      <c r="F44" s="35"/>
    </row>
    <row r="45" spans="1:6">
      <c r="A45" s="41"/>
      <c r="B45" s="41"/>
      <c r="C45" s="35"/>
      <c r="D45" s="35"/>
      <c r="E45" s="35"/>
      <c r="F45" s="35"/>
    </row>
    <row r="46" spans="1:6">
      <c r="A46" s="41"/>
      <c r="B46" s="41"/>
      <c r="C46" s="35"/>
      <c r="D46" s="35"/>
      <c r="E46" s="35"/>
      <c r="F46" s="35"/>
    </row>
    <row r="47" spans="1:6">
      <c r="A47" s="41"/>
      <c r="B47" s="41"/>
      <c r="C47" s="35"/>
      <c r="D47" s="35"/>
      <c r="E47" s="35"/>
      <c r="F47" s="35"/>
    </row>
    <row r="48" spans="1:6">
      <c r="A48" s="41"/>
      <c r="B48" s="41"/>
      <c r="C48" s="35"/>
      <c r="D48" s="35"/>
      <c r="E48" s="35"/>
      <c r="F48" s="35"/>
    </row>
    <row r="49" spans="1:6">
      <c r="A49" s="35"/>
      <c r="B49" s="35"/>
      <c r="C49" s="35"/>
      <c r="D49" s="35"/>
      <c r="E49" s="35"/>
      <c r="F49" s="35"/>
    </row>
    <row r="50" spans="1:6">
      <c r="A50" s="35"/>
      <c r="B50" s="35"/>
      <c r="C50" s="35"/>
      <c r="D50" s="35"/>
      <c r="E50" s="35"/>
      <c r="F50" s="35"/>
    </row>
    <row r="51" spans="1:6">
      <c r="A51" s="35"/>
      <c r="B51" s="35"/>
      <c r="C51" s="35"/>
      <c r="D51" s="35"/>
      <c r="E51" s="35"/>
      <c r="F51" s="35"/>
    </row>
    <row r="52" spans="1:6">
      <c r="A52" s="13"/>
      <c r="B52" s="13"/>
      <c r="C52" s="13"/>
      <c r="D52" s="13"/>
      <c r="E52" s="13"/>
      <c r="F52" s="13"/>
    </row>
    <row r="53" spans="1:6">
      <c r="A53" s="13"/>
      <c r="B53" s="13"/>
      <c r="C53" s="13"/>
      <c r="D53" s="13"/>
      <c r="E53" s="13"/>
      <c r="F53" s="13"/>
    </row>
    <row r="54" spans="1:6">
      <c r="A54" s="13"/>
      <c r="B54" s="13"/>
      <c r="C54" s="13"/>
      <c r="D54" s="13"/>
      <c r="E54" s="13"/>
      <c r="F54" s="13"/>
    </row>
  </sheetData>
  <sheetProtection password="F941" sheet="1" objects="1" scenarios="1"/>
  <mergeCells count="22">
    <mergeCell ref="A36:B36"/>
    <mergeCell ref="C1:E1"/>
    <mergeCell ref="B4:F4"/>
    <mergeCell ref="B22:F22"/>
    <mergeCell ref="B29:E29"/>
    <mergeCell ref="C30:E30"/>
    <mergeCell ref="A32:B32"/>
    <mergeCell ref="A33:B33"/>
    <mergeCell ref="A34:B34"/>
    <mergeCell ref="A35:B35"/>
    <mergeCell ref="A48:B48"/>
    <mergeCell ref="A37:B37"/>
    <mergeCell ref="A38:B38"/>
    <mergeCell ref="A39:B39"/>
    <mergeCell ref="A40:B40"/>
    <mergeCell ref="A41:B41"/>
    <mergeCell ref="A42:B42"/>
    <mergeCell ref="A43:B43"/>
    <mergeCell ref="A44:B44"/>
    <mergeCell ref="A45:B45"/>
    <mergeCell ref="A46:B46"/>
    <mergeCell ref="A47:B47"/>
  </mergeCells>
  <dataValidations count="3">
    <dataValidation type="whole" operator="greaterThan" allowBlank="1" showInputMessage="1" showErrorMessage="1" sqref="D26:E26 D19:E19">
      <formula1>0</formula1>
    </dataValidation>
    <dataValidation type="whole" allowBlank="1" showInputMessage="1" showErrorMessage="1" errorTitle="Step Number Error" error="Please enter a number from 1 to 1000" sqref="A31 A24:A25 A6:A18">
      <formula1>1</formula1>
      <formula2>1000</formula2>
    </dataValidation>
    <dataValidation type="whole" operator="greaterThanOrEqual" allowBlank="1" showInputMessage="1" showErrorMessage="1" errorTitle="Invalid Time" error="Please enter at least 1 minute." sqref="D24:E25 D6:E18">
      <formula1>1</formula1>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6DE6832-AFE0-4FDD-8B1F-A3E60777E2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Jonathan Steele</cp:lastModifiedBy>
  <dcterms:created xsi:type="dcterms:W3CDTF">2010-03-26T06:12:45Z</dcterms:created>
  <dcterms:modified xsi:type="dcterms:W3CDTF">2010-05-27T18:55:21Z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