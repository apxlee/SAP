
<file path=[Content_Types].xml><?xml version="1.0" encoding="utf-8"?>
<Types xmlns="http://schemas.openxmlformats.org/package/2006/content-types">
  <Default Extension="png" ContentType="image/png"/>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75" windowWidth="21075" windowHeight="9780"/>
  </bookViews>
  <sheets>
    <sheet name="Macros" sheetId="1" r:id="rId1"/>
    <sheet name="Work Plan" sheetId="2" state="veryHidden" r:id="rId2"/>
    <sheet name="Instructions" sheetId="3" state="veryHidden" r:id="rId3"/>
  </sheets>
  <calcPr calcId="124519"/>
</workbook>
</file>

<file path=xl/calcChain.xml><?xml version="1.0" encoding="utf-8"?>
<calcChain xmlns="http://schemas.openxmlformats.org/spreadsheetml/2006/main">
  <c r="L14" i="2"/>
  <c r="K7"/>
  <c r="K6"/>
  <c r="K9"/>
  <c r="J24"/>
  <c r="L10"/>
  <c r="L7"/>
  <c r="L9"/>
  <c r="K8"/>
  <c r="L11"/>
  <c r="K12"/>
  <c r="M24"/>
  <c r="L8"/>
  <c r="J6"/>
  <c r="L17"/>
  <c r="K11"/>
  <c r="J25"/>
  <c r="K14"/>
  <c r="K16"/>
  <c r="K13"/>
  <c r="L16"/>
  <c r="K18"/>
  <c r="L12"/>
  <c r="L6"/>
  <c r="N24"/>
  <c r="L15"/>
  <c r="J31"/>
  <c r="K10"/>
  <c r="N25"/>
  <c r="K17"/>
  <c r="K15"/>
  <c r="L13"/>
  <c r="M25"/>
  <c r="L18"/>
  <c r="J7"/>
  <c r="J8"/>
  <c r="J9"/>
  <c r="J10"/>
  <c r="J11"/>
  <c r="J12"/>
  <c r="J13"/>
  <c r="A13" l="1"/>
  <c r="A12"/>
  <c r="A11"/>
  <c r="A10"/>
  <c r="A9"/>
  <c r="A8"/>
  <c r="A7"/>
  <c r="A31"/>
  <c r="E27"/>
  <c r="E26"/>
  <c r="E19"/>
  <c r="E20"/>
  <c r="A25"/>
  <c r="A6"/>
  <c r="D27"/>
  <c r="D26"/>
  <c r="A24"/>
  <c r="D19"/>
  <c r="D20"/>
  <c r="J14"/>
  <c r="J15"/>
  <c r="J16"/>
  <c r="J17"/>
  <c r="J18"/>
  <c r="A18" l="1"/>
  <c r="A17"/>
  <c r="A16"/>
  <c r="A15"/>
  <c r="A14"/>
</calcChain>
</file>

<file path=xl/sharedStrings.xml><?xml version="1.0" encoding="utf-8"?>
<sst xmlns="http://schemas.openxmlformats.org/spreadsheetml/2006/main" count="88" uniqueCount="66">
  <si>
    <t>RFC #</t>
  </si>
  <si>
    <t>Step #</t>
  </si>
  <si>
    <t>DBC</t>
  </si>
  <si>
    <t>DWC</t>
  </si>
  <si>
    <t>RBC</t>
  </si>
  <si>
    <t>RWC</t>
  </si>
  <si>
    <t>DEPLOYMENT</t>
  </si>
  <si>
    <t xml:space="preserve"> (If additional steps are needed click the "Add Rows" button above. This will insert the desired number of rows below the one currently selected.)</t>
  </si>
  <si>
    <t>Step Number</t>
  </si>
  <si>
    <t>Step Description</t>
  </si>
  <si>
    <t>Implementer</t>
  </si>
  <si>
    <t>Best Case Time in Minutes</t>
  </si>
  <si>
    <t>Worst Case Time in Minutes</t>
  </si>
  <si>
    <t>Comments</t>
  </si>
  <si>
    <t>Total in Minutes</t>
  </si>
  <si>
    <t>Total in Hours/Minutes</t>
  </si>
  <si>
    <t>ROLLBACK</t>
  </si>
  <si>
    <t>(If additional steps are needed click the "Add Rows" button above. This will insert the desired number of rows below the one currently selected.)</t>
  </si>
  <si>
    <t>RISK</t>
  </si>
  <si>
    <t>Risk Number</t>
  </si>
  <si>
    <t>Risk Description</t>
  </si>
  <si>
    <t>How will risk be avoided</t>
  </si>
  <si>
    <t xml:space="preserve">    RFC # and Add/Delete Rows</t>
  </si>
  <si>
    <t>1) Enter the RFC number using digits only</t>
  </si>
  <si>
    <r>
      <t xml:space="preserve">2) If additional steps are needed, click the "Add Rows" button and choose the number of additional rows desired.    This will insert the desired number of rows below the one currently selected.  Rows can be inserted at the end of each section or </t>
    </r>
    <r>
      <rPr>
        <sz val="11"/>
        <rFont val="Calibri"/>
        <family val="2"/>
        <scheme val="minor"/>
      </rPr>
      <t>between</t>
    </r>
    <r>
      <rPr>
        <sz val="11"/>
        <color theme="1"/>
        <rFont val="Calibri"/>
        <family val="2"/>
        <scheme val="minor"/>
      </rPr>
      <t xml:space="preserve"> two other steps.</t>
    </r>
  </si>
  <si>
    <t xml:space="preserve">3) Use the "Delete Blank Rows" to delete unwanted rows.  NOTE:  Be sure all sections are filled out to your satisfaction before deleting rows.  Clicking "Delete Blank Rows" will delete all blank rows in the document, including those in sections that have not yet been completed. </t>
  </si>
  <si>
    <r>
      <t>    </t>
    </r>
    <r>
      <rPr>
        <b/>
        <i/>
        <sz val="11"/>
        <color rgb="FF000000"/>
        <rFont val="Calibri"/>
        <family val="2"/>
        <scheme val="minor"/>
      </rPr>
      <t>DEPLOYMENT TASKS</t>
    </r>
  </si>
  <si>
    <t>1) Sequential step numbers have been provided on the form</t>
  </si>
  <si>
    <t>2) Provide a description of the work being done for each step in the Description field</t>
  </si>
  <si>
    <t>3) Enter the name of the person implementing each step in the Implementer field</t>
  </si>
  <si>
    <t>4) Provide the BEST CASE number of minutes (whole numbers) that each step will take to complete</t>
  </si>
  <si>
    <t>5) Provide the WORST CASE number of minutes (whole numbers) that each step will take to complete</t>
  </si>
  <si>
    <t>6) Additional comments regarding each step can be entered in the Comments field</t>
  </si>
  <si>
    <t xml:space="preserve">   ROLLBACK TASKS</t>
  </si>
  <si>
    <t>1) Sequential step numbers have been provided on the form</t>
  </si>
  <si>
    <t>2) Provide a description of the work being done for each step in the Description Field</t>
  </si>
  <si>
    <t>3) Enter the name of the person that will implement the rollback step in the Implementer field</t>
  </si>
  <si>
    <r>
      <t xml:space="preserve">   </t>
    </r>
    <r>
      <rPr>
        <b/>
        <i/>
        <sz val="11"/>
        <color rgb="FF000000"/>
        <rFont val="Calibri"/>
        <family val="2"/>
        <scheme val="minor"/>
      </rPr>
      <t xml:space="preserve">RISKS SECTION </t>
    </r>
  </si>
  <si>
    <r>
      <t xml:space="preserve">    </t>
    </r>
    <r>
      <rPr>
        <b/>
        <i/>
        <sz val="11"/>
        <color theme="1"/>
        <rFont val="Calibri"/>
        <family val="2"/>
        <scheme val="minor"/>
      </rPr>
      <t>SAVING THE RFC WORK PLAN</t>
    </r>
  </si>
  <si>
    <t>1) When you save the RFC Work Plan, include the RFC number in the title and in the “Save as type” field choose “Excel Macro-Enabled Workbook (*.xlsm)” so the macros will be included in the spreadsheet.</t>
  </si>
  <si>
    <t xml:space="preserve">2) Attach the RFC Work Plan to the RFC in the “Attachments” tab. </t>
  </si>
  <si>
    <r>
      <rPr>
        <sz val="22"/>
        <color rgb="FFFFFF00"/>
        <rFont val="Calibri"/>
        <family val="2"/>
        <scheme val="minor"/>
      </rPr>
      <t>MACROS MUST BE ENABLED TO USE THIS WORK PLAN.</t>
    </r>
    <r>
      <rPr>
        <sz val="22"/>
        <rFont val="Calibri"/>
        <family val="2"/>
        <scheme val="minor"/>
      </rPr>
      <t xml:space="preserve">
</t>
    </r>
    <r>
      <rPr>
        <sz val="14"/>
        <rFont val="Calibri"/>
        <family val="2"/>
        <scheme val="minor"/>
      </rPr>
      <t xml:space="preserve">1) The RFC Work Plan has macros embedded within the worksheet for ease of use.  They </t>
    </r>
    <r>
      <rPr>
        <b/>
        <u/>
        <sz val="14"/>
        <rFont val="Calibri"/>
        <family val="2"/>
        <scheme val="minor"/>
      </rPr>
      <t>MUST</t>
    </r>
    <r>
      <rPr>
        <sz val="14"/>
        <rFont val="Calibri"/>
        <family val="2"/>
        <scheme val="minor"/>
      </rPr>
      <t xml:space="preserve"> be enabled for the form to work correctly.
2) Click the Options button  at the top of the form to enable the macros.
3) Select "Enable this content" and click OK</t>
    </r>
  </si>
  <si>
    <t>1)  Describe the identified risks in the RISK field</t>
  </si>
  <si>
    <t>2)  Describe what will be done to avoid the risk from becoming reality in the "How will the risk be avoided" fields. (Because Excel doesn't handle merged cells very well, to enter data for the this section please select the left or beginning side of these cells, [column C] to activate them.)</t>
  </si>
  <si>
    <t>Change Management Work Plan Version 4 - 4/22/10</t>
  </si>
  <si>
    <t>Point the file path to IIS Web Servers</t>
  </si>
  <si>
    <t>Configure virtual directory access permission</t>
  </si>
  <si>
    <t>Configure web.config to match your environment - &lt;Apollo.CA.DirectoryServices&gt;&lt;LDAP.Connection&gt; section</t>
  </si>
  <si>
    <t>Configure web.config to match your environment - &lt;Apollo.CA.DirectoryServices&gt;&lt;LDAP.ConnectionAdam&gt; section</t>
  </si>
  <si>
    <t>Create a virtual directory and call it snap</t>
  </si>
  <si>
    <t>See attachment, Fig 3</t>
  </si>
  <si>
    <t>same as cap</t>
  </si>
  <si>
    <t>AIM release team</t>
  </si>
  <si>
    <t>Copy \\awhpst11.apollogrp.edu\snap\1.0.0\snap\*.* to IIS Web Servers d:\inetpub\wwwroot\snap\1.0</t>
  </si>
  <si>
    <t>Delete the virtual directory from IIS Manager</t>
  </si>
  <si>
    <t>Delete the files pointing by the virtual directory d:\inetpub\wwwroot\snap\1.0</t>
  </si>
  <si>
    <t>Configure web.configto match your environment - &lt;add key="SDLink" …&gt; . Comment out Sdlinks that do not match your environment</t>
  </si>
  <si>
    <t>See attachment, Fig 1,2</t>
  </si>
  <si>
    <t>See attachment, Fig 4</t>
  </si>
  <si>
    <t>See attacgnebt, Fig 5</t>
  </si>
  <si>
    <t>Copy log4net.snap.config to c:\caplogs</t>
  </si>
  <si>
    <t>Configure (UNCOMMENT) web.config to match your environment - &lt;add key="EnvironmentPath"  value= "access.qaapollogrp.edu/snap/" /&gt; for QA  &lt;add key="EnvironmentPath"  value= "access.apollogrp.edu/snap/" /&gt; for PROD</t>
  </si>
  <si>
    <t>Set default content page to "Default.aspx"</t>
  </si>
  <si>
    <t xml:space="preserve">Configure (UNCOMMENT) web.config to match your environment - point to the right database connection string (name="Apollo.AIM.SNAP.Properties.Settings.Apollo_AIM_SNAPConnectionString")
</t>
  </si>
  <si>
    <t>Change Connection String PASSWORD per environment (Jon Lehtinen has in pword safe)</t>
  </si>
  <si>
    <t>Configure web.config to match FALSE IN PROD ONLY!! - &lt;add key="SendAllEmailToAIM" value="false"&gt;</t>
  </si>
</sst>
</file>

<file path=xl/styles.xml><?xml version="1.0" encoding="utf-8"?>
<styleSheet xmlns="http://schemas.openxmlformats.org/spreadsheetml/2006/main">
  <numFmts count="1">
    <numFmt numFmtId="164" formatCode="[h]:mm:ss;@"/>
  </numFmts>
  <fonts count="13">
    <font>
      <sz val="11"/>
      <color theme="1"/>
      <name val="Calibri"/>
      <family val="2"/>
      <scheme val="minor"/>
    </font>
    <font>
      <b/>
      <sz val="11"/>
      <color theme="1"/>
      <name val="Calibri"/>
      <family val="2"/>
      <scheme val="minor"/>
    </font>
    <font>
      <sz val="11"/>
      <color rgb="FF000000"/>
      <name val="Calibri"/>
      <family val="2"/>
      <scheme val="minor"/>
    </font>
    <font>
      <b/>
      <i/>
      <sz val="11"/>
      <color theme="1"/>
      <name val="Calibri"/>
      <family val="2"/>
      <scheme val="minor"/>
    </font>
    <font>
      <sz val="11"/>
      <name val="Calibri"/>
      <family val="2"/>
      <scheme val="minor"/>
    </font>
    <font>
      <b/>
      <i/>
      <sz val="11"/>
      <color rgb="FFC0C0C0"/>
      <name val="Calibri"/>
      <family val="2"/>
      <scheme val="minor"/>
    </font>
    <font>
      <b/>
      <i/>
      <sz val="11"/>
      <color rgb="FF000000"/>
      <name val="Calibri"/>
      <family val="2"/>
      <scheme val="minor"/>
    </font>
    <font>
      <sz val="10"/>
      <color rgb="FF000000"/>
      <name val="Verdana"/>
      <family val="2"/>
    </font>
    <font>
      <sz val="22"/>
      <name val="Calibri"/>
      <family val="2"/>
      <scheme val="minor"/>
    </font>
    <font>
      <sz val="14"/>
      <name val="Calibri"/>
      <family val="2"/>
      <scheme val="minor"/>
    </font>
    <font>
      <sz val="22"/>
      <color rgb="FFFFFF00"/>
      <name val="Calibri"/>
      <family val="2"/>
      <scheme val="minor"/>
    </font>
    <font>
      <b/>
      <u/>
      <sz val="14"/>
      <name val="Calibri"/>
      <family val="2"/>
      <scheme val="minor"/>
    </font>
    <font>
      <sz val="11"/>
      <color rgb="FF1F497D"/>
      <name val="Calibri"/>
      <family val="2"/>
      <scheme val="minor"/>
    </font>
  </fonts>
  <fills count="6">
    <fill>
      <patternFill patternType="none"/>
    </fill>
    <fill>
      <patternFill patternType="gray125"/>
    </fill>
    <fill>
      <patternFill patternType="solid">
        <fgColor rgb="FF99CCFF"/>
        <bgColor indexed="64"/>
      </patternFill>
    </fill>
    <fill>
      <patternFill patternType="solid">
        <fgColor rgb="FFC0C0C0"/>
        <bgColor indexed="64"/>
      </patternFill>
    </fill>
    <fill>
      <patternFill patternType="solid">
        <fgColor rgb="FFFFFF00"/>
        <bgColor indexed="64"/>
      </patternFill>
    </fill>
    <fill>
      <patternFill patternType="solid">
        <fgColor rgb="FFFF0000"/>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rgb="FFFFFFFF"/>
      </right>
      <top style="thin">
        <color auto="1"/>
      </top>
      <bottom style="thin">
        <color auto="1"/>
      </bottom>
      <diagonal/>
    </border>
    <border>
      <left style="thin">
        <color theme="0"/>
      </left>
      <right style="thin">
        <color auto="1"/>
      </right>
      <top style="thin">
        <color auto="1"/>
      </top>
      <bottom style="thin">
        <color auto="1"/>
      </bottom>
      <diagonal/>
    </border>
    <border>
      <left style="thin">
        <color theme="0"/>
      </left>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49">
    <xf numFmtId="0" fontId="0" fillId="0" borderId="0" xfId="0"/>
    <xf numFmtId="0" fontId="1" fillId="3" borderId="0" xfId="0" applyFont="1" applyFill="1" applyBorder="1" applyAlignment="1" applyProtection="1">
      <alignment horizontal="left" vertical="top" wrapText="1"/>
    </xf>
    <xf numFmtId="0" fontId="0" fillId="0" borderId="0" xfId="0" applyAlignment="1" applyProtection="1">
      <alignment horizontal="left" vertical="top" wrapText="1"/>
    </xf>
    <xf numFmtId="14" fontId="0" fillId="3" borderId="0" xfId="0" applyNumberFormat="1" applyFill="1" applyBorder="1" applyAlignment="1" applyProtection="1">
      <alignment horizontal="left" vertical="top" wrapText="1"/>
    </xf>
    <xf numFmtId="0" fontId="1" fillId="2" borderId="1" xfId="0" applyFont="1" applyFill="1" applyBorder="1" applyAlignment="1" applyProtection="1">
      <alignment horizontal="center" vertical="top" wrapText="1"/>
    </xf>
    <xf numFmtId="0" fontId="0" fillId="0" borderId="0" xfId="0" applyFont="1" applyAlignment="1" applyProtection="1">
      <alignment horizontal="left" vertical="top" wrapText="1"/>
    </xf>
    <xf numFmtId="0" fontId="1" fillId="0" borderId="1" xfId="0" applyFont="1" applyBorder="1" applyAlignment="1" applyProtection="1">
      <alignment horizontal="center" vertical="top"/>
    </xf>
    <xf numFmtId="1" fontId="0" fillId="0" borderId="1" xfId="0" applyNumberFormat="1" applyBorder="1" applyAlignment="1" applyProtection="1">
      <alignment horizontal="left" vertical="top" wrapText="1"/>
      <protection locked="0"/>
    </xf>
    <xf numFmtId="0" fontId="0" fillId="0" borderId="0" xfId="0" applyAlignment="1" applyProtection="1">
      <alignment horizontal="left" vertical="top"/>
    </xf>
    <xf numFmtId="0" fontId="1" fillId="0" borderId="1" xfId="0" applyFont="1" applyBorder="1" applyAlignment="1" applyProtection="1">
      <alignment horizontal="left" vertical="top"/>
    </xf>
    <xf numFmtId="164" fontId="1" fillId="0" borderId="1" xfId="0" applyNumberFormat="1" applyFont="1" applyBorder="1" applyAlignment="1" applyProtection="1">
      <alignment horizontal="left" vertical="top"/>
    </xf>
    <xf numFmtId="0" fontId="0" fillId="0" borderId="0" xfId="0" applyFill="1" applyBorder="1" applyAlignment="1" applyProtection="1">
      <alignment horizontal="left" vertical="top" wrapText="1"/>
    </xf>
    <xf numFmtId="0" fontId="1" fillId="0" borderId="1" xfId="0" applyFont="1" applyBorder="1" applyAlignment="1" applyProtection="1">
      <alignment horizontal="center" vertical="top" wrapText="1"/>
    </xf>
    <xf numFmtId="0" fontId="0" fillId="3" borderId="0" xfId="0" applyFill="1" applyBorder="1" applyAlignment="1" applyProtection="1">
      <alignment horizontal="left" vertical="top" wrapText="1"/>
    </xf>
    <xf numFmtId="0" fontId="0" fillId="0" borderId="0" xfId="0" applyBorder="1" applyAlignment="1" applyProtection="1">
      <alignment horizontal="left" vertical="top" wrapText="1"/>
    </xf>
    <xf numFmtId="0" fontId="0" fillId="0" borderId="0" xfId="0" applyFont="1" applyBorder="1" applyAlignment="1" applyProtection="1">
      <alignment horizontal="left" vertical="top" wrapText="1"/>
    </xf>
    <xf numFmtId="1" fontId="0" fillId="0" borderId="0" xfId="0" applyNumberFormat="1" applyBorder="1" applyAlignment="1" applyProtection="1">
      <alignment horizontal="left" vertical="top"/>
    </xf>
    <xf numFmtId="0" fontId="0" fillId="0" borderId="0" xfId="0" applyBorder="1" applyAlignment="1" applyProtection="1">
      <alignment horizontal="left" vertical="top"/>
    </xf>
    <xf numFmtId="1" fontId="0" fillId="0" borderId="0" xfId="0" applyNumberFormat="1" applyBorder="1" applyAlignment="1" applyProtection="1">
      <alignment horizontal="left" vertical="top" wrapText="1"/>
    </xf>
    <xf numFmtId="0" fontId="3" fillId="0" borderId="0" xfId="0" applyFont="1" applyAlignment="1">
      <alignment vertical="top"/>
    </xf>
    <xf numFmtId="0" fontId="0" fillId="0" borderId="0" xfId="0" applyAlignment="1">
      <alignment vertical="top"/>
    </xf>
    <xf numFmtId="0" fontId="0" fillId="0" borderId="0" xfId="0" applyAlignment="1">
      <alignment vertical="top" wrapText="1"/>
    </xf>
    <xf numFmtId="0" fontId="4" fillId="0" borderId="0" xfId="0" applyFont="1" applyAlignment="1">
      <alignment vertical="top" wrapText="1"/>
    </xf>
    <xf numFmtId="1" fontId="1" fillId="0" borderId="1" xfId="0" applyNumberFormat="1" applyFont="1" applyBorder="1" applyAlignment="1" applyProtection="1">
      <alignment horizontal="left" vertical="top"/>
    </xf>
    <xf numFmtId="0" fontId="0" fillId="0" borderId="1" xfId="0" applyBorder="1" applyAlignment="1" applyProtection="1">
      <alignment horizontal="left" vertical="top" wrapText="1"/>
      <protection locked="0"/>
    </xf>
    <xf numFmtId="0" fontId="0" fillId="0" borderId="2" xfId="0" applyFill="1" applyBorder="1" applyAlignment="1" applyProtection="1">
      <alignment horizontal="centerContinuous" vertical="top" wrapText="1"/>
      <protection locked="0"/>
    </xf>
    <xf numFmtId="0" fontId="0" fillId="0" borderId="1" xfId="0" applyFill="1" applyBorder="1" applyAlignment="1" applyProtection="1">
      <alignment horizontal="left" vertical="top" wrapText="1"/>
      <protection locked="0"/>
    </xf>
    <xf numFmtId="0" fontId="0" fillId="0" borderId="4" xfId="0" applyBorder="1" applyAlignment="1" applyProtection="1">
      <alignment horizontal="centerContinuous" vertical="top" wrapText="1"/>
    </xf>
    <xf numFmtId="0" fontId="0" fillId="0" borderId="3" xfId="0" applyBorder="1" applyAlignment="1" applyProtection="1">
      <alignment horizontal="centerContinuous" vertical="top" wrapText="1"/>
    </xf>
    <xf numFmtId="0" fontId="5" fillId="0" borderId="0" xfId="0" applyFont="1" applyAlignment="1">
      <alignment vertical="top"/>
    </xf>
    <xf numFmtId="0" fontId="2" fillId="0" borderId="0" xfId="0" applyFont="1" applyAlignment="1">
      <alignment vertical="top"/>
    </xf>
    <xf numFmtId="0" fontId="6" fillId="0" borderId="0" xfId="0" applyFont="1" applyAlignment="1">
      <alignment vertical="top"/>
    </xf>
    <xf numFmtId="0" fontId="7" fillId="0" borderId="0" xfId="0" applyFont="1" applyAlignment="1">
      <alignment vertical="top"/>
    </xf>
    <xf numFmtId="0" fontId="7" fillId="0" borderId="0" xfId="0" applyFont="1" applyAlignment="1">
      <alignment vertical="top" wrapText="1"/>
    </xf>
    <xf numFmtId="0" fontId="4" fillId="0" borderId="0" xfId="0" applyFont="1" applyAlignment="1">
      <alignment vertical="top"/>
    </xf>
    <xf numFmtId="0" fontId="0" fillId="3" borderId="0" xfId="0" applyFill="1" applyAlignment="1" applyProtection="1">
      <alignment horizontal="left" vertical="top" wrapText="1"/>
    </xf>
    <xf numFmtId="0" fontId="1" fillId="2" borderId="1" xfId="0" applyFont="1" applyFill="1" applyBorder="1" applyAlignment="1" applyProtection="1">
      <alignment horizontal="left" vertical="top" wrapText="1"/>
    </xf>
    <xf numFmtId="0" fontId="12" fillId="0" borderId="1" xfId="0" applyFont="1" applyBorder="1" applyAlignment="1" applyProtection="1">
      <alignment horizontal="left" vertical="top" wrapText="1"/>
      <protection locked="0"/>
    </xf>
    <xf numFmtId="0" fontId="0" fillId="3" borderId="1" xfId="0" applyFill="1" applyBorder="1" applyAlignment="1" applyProtection="1">
      <alignment horizontal="left" vertical="top" wrapText="1"/>
      <protection locked="0"/>
    </xf>
    <xf numFmtId="0" fontId="8" fillId="5" borderId="1" xfId="0" applyFont="1" applyFill="1" applyBorder="1" applyAlignment="1">
      <alignment horizontal="left" vertical="top" wrapText="1"/>
    </xf>
    <xf numFmtId="0" fontId="0" fillId="0" borderId="1" xfId="0" applyBorder="1" applyAlignment="1">
      <alignment horizontal="left" vertical="top"/>
    </xf>
    <xf numFmtId="0" fontId="0" fillId="3" borderId="0" xfId="0" applyFill="1" applyAlignment="1" applyProtection="1">
      <alignment horizontal="left" vertical="top" wrapText="1"/>
    </xf>
    <xf numFmtId="0" fontId="0" fillId="4" borderId="5" xfId="0" applyFill="1" applyBorder="1" applyAlignment="1" applyProtection="1">
      <alignment horizontal="center" vertical="top" wrapText="1"/>
    </xf>
    <xf numFmtId="0" fontId="0" fillId="0" borderId="6" xfId="0" applyBorder="1" applyAlignment="1" applyProtection="1">
      <alignment horizontal="center" vertical="top" wrapText="1"/>
    </xf>
    <xf numFmtId="0" fontId="0" fillId="0" borderId="7" xfId="0" applyBorder="1" applyAlignment="1" applyProtection="1">
      <alignment horizontal="center" vertical="top" wrapText="1"/>
    </xf>
    <xf numFmtId="0" fontId="0" fillId="2" borderId="1" xfId="0" applyFont="1" applyFill="1" applyBorder="1" applyAlignment="1" applyProtection="1">
      <alignment horizontal="left" vertical="top" wrapText="1"/>
    </xf>
    <xf numFmtId="0" fontId="0" fillId="2" borderId="1" xfId="0" applyFill="1" applyBorder="1" applyAlignment="1" applyProtection="1">
      <alignment horizontal="left" vertical="top" wrapText="1"/>
    </xf>
    <xf numFmtId="0" fontId="0" fillId="0" borderId="1" xfId="0" applyBorder="1" applyAlignment="1" applyProtection="1">
      <alignment horizontal="left" vertical="top" wrapText="1"/>
    </xf>
    <xf numFmtId="0" fontId="1" fillId="2" borderId="1" xfId="0" applyFont="1" applyFill="1" applyBorder="1" applyAlignment="1" applyProtection="1">
      <alignment horizontal="left" vertical="top"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342900</xdr:colOff>
      <xdr:row>13</xdr:row>
      <xdr:rowOff>76200</xdr:rowOff>
    </xdr:from>
    <xdr:to>
      <xdr:col>9</xdr:col>
      <xdr:colOff>304800</xdr:colOff>
      <xdr:row>15</xdr:row>
      <xdr:rowOff>19050</xdr:rowOff>
    </xdr:to>
    <xdr:pic>
      <xdr:nvPicPr>
        <xdr:cNvPr id="2" name="Picture 1"/>
        <xdr:cNvPicPr/>
      </xdr:nvPicPr>
      <xdr:blipFill>
        <a:blip xmlns:r="http://schemas.openxmlformats.org/officeDocument/2006/relationships" r:embed="rId1" cstate="print"/>
        <a:srcRect/>
        <a:stretch>
          <a:fillRect/>
        </a:stretch>
      </xdr:blipFill>
      <xdr:spPr bwMode="auto">
        <a:xfrm>
          <a:off x="2171700" y="2552700"/>
          <a:ext cx="3619500" cy="323850"/>
        </a:xfrm>
        <a:prstGeom prst="rect">
          <a:avLst/>
        </a:prstGeom>
        <a:noFill/>
        <a:ln w="1">
          <a:solidFill>
            <a:schemeClr val="tx1"/>
          </a:solidFill>
          <a:miter lim="800000"/>
          <a:headEnd/>
          <a:tailEnd type="none" w="med" len="med"/>
        </a:ln>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D7:N19"/>
  <sheetViews>
    <sheetView tabSelected="1" workbookViewId="0"/>
  </sheetViews>
  <sheetFormatPr defaultRowHeight="15"/>
  <sheetData>
    <row r="7" spans="4:14">
      <c r="D7" s="39" t="s">
        <v>41</v>
      </c>
      <c r="E7" s="40"/>
      <c r="F7" s="40"/>
      <c r="G7" s="40"/>
      <c r="H7" s="40"/>
      <c r="I7" s="40"/>
      <c r="J7" s="40"/>
      <c r="K7" s="40"/>
      <c r="L7" s="40"/>
      <c r="M7" s="40"/>
      <c r="N7" s="40"/>
    </row>
    <row r="8" spans="4:14">
      <c r="D8" s="40"/>
      <c r="E8" s="40"/>
      <c r="F8" s="40"/>
      <c r="G8" s="40"/>
      <c r="H8" s="40"/>
      <c r="I8" s="40"/>
      <c r="J8" s="40"/>
      <c r="K8" s="40"/>
      <c r="L8" s="40"/>
      <c r="M8" s="40"/>
      <c r="N8" s="40"/>
    </row>
    <row r="9" spans="4:14">
      <c r="D9" s="40"/>
      <c r="E9" s="40"/>
      <c r="F9" s="40"/>
      <c r="G9" s="40"/>
      <c r="H9" s="40"/>
      <c r="I9" s="40"/>
      <c r="J9" s="40"/>
      <c r="K9" s="40"/>
      <c r="L9" s="40"/>
      <c r="M9" s="40"/>
      <c r="N9" s="40"/>
    </row>
    <row r="10" spans="4:14">
      <c r="D10" s="40"/>
      <c r="E10" s="40"/>
      <c r="F10" s="40"/>
      <c r="G10" s="40"/>
      <c r="H10" s="40"/>
      <c r="I10" s="40"/>
      <c r="J10" s="40"/>
      <c r="K10" s="40"/>
      <c r="L10" s="40"/>
      <c r="M10" s="40"/>
      <c r="N10" s="40"/>
    </row>
    <row r="11" spans="4:14">
      <c r="D11" s="40"/>
      <c r="E11" s="40"/>
      <c r="F11" s="40"/>
      <c r="G11" s="40"/>
      <c r="H11" s="40"/>
      <c r="I11" s="40"/>
      <c r="J11" s="40"/>
      <c r="K11" s="40"/>
      <c r="L11" s="40"/>
      <c r="M11" s="40"/>
      <c r="N11" s="40"/>
    </row>
    <row r="12" spans="4:14">
      <c r="D12" s="40"/>
      <c r="E12" s="40"/>
      <c r="F12" s="40"/>
      <c r="G12" s="40"/>
      <c r="H12" s="40"/>
      <c r="I12" s="40"/>
      <c r="J12" s="40"/>
      <c r="K12" s="40"/>
      <c r="L12" s="40"/>
      <c r="M12" s="40"/>
      <c r="N12" s="40"/>
    </row>
    <row r="13" spans="4:14">
      <c r="D13" s="40"/>
      <c r="E13" s="40"/>
      <c r="F13" s="40"/>
      <c r="G13" s="40"/>
      <c r="H13" s="40"/>
      <c r="I13" s="40"/>
      <c r="J13" s="40"/>
      <c r="K13" s="40"/>
      <c r="L13" s="40"/>
      <c r="M13" s="40"/>
      <c r="N13" s="40"/>
    </row>
    <row r="14" spans="4:14">
      <c r="D14" s="40"/>
      <c r="E14" s="40"/>
      <c r="F14" s="40"/>
      <c r="G14" s="40"/>
      <c r="H14" s="40"/>
      <c r="I14" s="40"/>
      <c r="J14" s="40"/>
      <c r="K14" s="40"/>
      <c r="L14" s="40"/>
      <c r="M14" s="40"/>
      <c r="N14" s="40"/>
    </row>
    <row r="15" spans="4:14">
      <c r="D15" s="40"/>
      <c r="E15" s="40"/>
      <c r="F15" s="40"/>
      <c r="G15" s="40"/>
      <c r="H15" s="40"/>
      <c r="I15" s="40"/>
      <c r="J15" s="40"/>
      <c r="K15" s="40"/>
      <c r="L15" s="40"/>
      <c r="M15" s="40"/>
      <c r="N15" s="40"/>
    </row>
    <row r="16" spans="4:14">
      <c r="D16" s="40"/>
      <c r="E16" s="40"/>
      <c r="F16" s="40"/>
      <c r="G16" s="40"/>
      <c r="H16" s="40"/>
      <c r="I16" s="40"/>
      <c r="J16" s="40"/>
      <c r="K16" s="40"/>
      <c r="L16" s="40"/>
      <c r="M16" s="40"/>
      <c r="N16" s="40"/>
    </row>
    <row r="17" spans="4:14">
      <c r="D17" s="40"/>
      <c r="E17" s="40"/>
      <c r="F17" s="40"/>
      <c r="G17" s="40"/>
      <c r="H17" s="40"/>
      <c r="I17" s="40"/>
      <c r="J17" s="40"/>
      <c r="K17" s="40"/>
      <c r="L17" s="40"/>
      <c r="M17" s="40"/>
      <c r="N17" s="40"/>
    </row>
    <row r="18" spans="4:14">
      <c r="D18" s="40"/>
      <c r="E18" s="40"/>
      <c r="F18" s="40"/>
      <c r="G18" s="40"/>
      <c r="H18" s="40"/>
      <c r="I18" s="40"/>
      <c r="J18" s="40"/>
      <c r="K18" s="40"/>
      <c r="L18" s="40"/>
      <c r="M18" s="40"/>
      <c r="N18" s="40"/>
    </row>
    <row r="19" spans="4:14">
      <c r="D19" s="40"/>
      <c r="E19" s="40"/>
      <c r="F19" s="40"/>
      <c r="G19" s="40"/>
      <c r="H19" s="40"/>
      <c r="I19" s="40"/>
      <c r="J19" s="40"/>
      <c r="K19" s="40"/>
      <c r="L19" s="40"/>
      <c r="M19" s="40"/>
      <c r="N19" s="40"/>
    </row>
  </sheetData>
  <sheetProtection password="F941" sheet="1" objects="1" scenarios="1" selectLockedCells="1" selectUnlockedCells="1"/>
  <mergeCells count="1">
    <mergeCell ref="D7:N1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
  <dimension ref="A1:R54"/>
  <sheetViews>
    <sheetView workbookViewId="0">
      <selection activeCell="B18" sqref="B18"/>
    </sheetView>
  </sheetViews>
  <sheetFormatPr defaultRowHeight="15"/>
  <cols>
    <col min="1" max="1" width="13.28515625" style="2" customWidth="1"/>
    <col min="2" max="2" width="76" style="2" customWidth="1"/>
    <col min="3" max="3" width="27.42578125" style="2" customWidth="1"/>
    <col min="4" max="4" width="16.5703125" style="2" bestFit="1" customWidth="1"/>
    <col min="5" max="5" width="16.5703125" style="2" customWidth="1"/>
    <col min="6" max="6" width="51.5703125" style="2" customWidth="1"/>
    <col min="7" max="9" width="9.140625" style="2"/>
    <col min="10" max="14" width="9.140625" style="14" hidden="1" customWidth="1"/>
    <col min="15" max="18" width="9.140625" style="2" hidden="1" customWidth="1"/>
    <col min="19" max="16384" width="9.140625" style="2"/>
  </cols>
  <sheetData>
    <row r="1" spans="1:18" ht="15" customHeight="1">
      <c r="A1" s="4" t="s">
        <v>0</v>
      </c>
      <c r="B1" s="1"/>
      <c r="C1" s="42" t="s">
        <v>44</v>
      </c>
      <c r="D1" s="43"/>
      <c r="E1" s="44"/>
      <c r="F1" s="35"/>
      <c r="J1" s="14" t="s">
        <v>1</v>
      </c>
      <c r="K1" s="14" t="s">
        <v>2</v>
      </c>
      <c r="L1" s="14" t="s">
        <v>3</v>
      </c>
      <c r="M1" s="14" t="s">
        <v>4</v>
      </c>
      <c r="N1" s="14" t="s">
        <v>5</v>
      </c>
      <c r="R1" s="14"/>
    </row>
    <row r="2" spans="1:18">
      <c r="A2" s="37">
        <v>100496</v>
      </c>
      <c r="B2" s="3"/>
      <c r="C2" s="13"/>
      <c r="D2" s="35"/>
      <c r="E2" s="35"/>
      <c r="F2" s="35"/>
    </row>
    <row r="3" spans="1:18">
      <c r="A3" s="35"/>
      <c r="B3" s="13"/>
      <c r="C3" s="35"/>
      <c r="D3" s="35"/>
      <c r="E3" s="35"/>
      <c r="F3" s="35"/>
    </row>
    <row r="4" spans="1:18" s="5" customFormat="1">
      <c r="A4" s="4" t="s">
        <v>6</v>
      </c>
      <c r="B4" s="45" t="s">
        <v>7</v>
      </c>
      <c r="C4" s="45"/>
      <c r="D4" s="45"/>
      <c r="E4" s="45"/>
      <c r="F4" s="45"/>
      <c r="J4" s="15"/>
      <c r="K4" s="15"/>
      <c r="L4" s="15"/>
      <c r="M4" s="15"/>
      <c r="N4" s="15"/>
    </row>
    <row r="5" spans="1:18" ht="30">
      <c r="A5" s="36" t="s">
        <v>8</v>
      </c>
      <c r="B5" s="36" t="s">
        <v>9</v>
      </c>
      <c r="C5" s="36" t="s">
        <v>10</v>
      </c>
      <c r="D5" s="36" t="s">
        <v>11</v>
      </c>
      <c r="E5" s="36" t="s">
        <v>12</v>
      </c>
      <c r="F5" s="36" t="s">
        <v>13</v>
      </c>
      <c r="J5" s="14">
        <v>0</v>
      </c>
    </row>
    <row r="6" spans="1:18" s="8" customFormat="1" ht="30">
      <c r="A6" s="6">
        <f t="shared" ref="A6:A10" ca="1" si="0">J6</f>
        <v>1</v>
      </c>
      <c r="B6" s="24" t="s">
        <v>53</v>
      </c>
      <c r="C6" s="24" t="s">
        <v>52</v>
      </c>
      <c r="D6" s="7"/>
      <c r="E6" s="7"/>
      <c r="F6" s="24"/>
      <c r="J6" s="14">
        <f ca="1">INDIRECT(ADDRESS(ROW()-1,COLUMN()))+1</f>
        <v>1</v>
      </c>
      <c r="K6" s="16">
        <f ca="1">(INDIRECT("D"&amp;ROW()))</f>
        <v>0</v>
      </c>
      <c r="L6" s="18">
        <f ca="1">(INDIRECT("E"&amp;ROW()))</f>
        <v>0</v>
      </c>
      <c r="M6" s="16"/>
      <c r="N6" s="16"/>
    </row>
    <row r="7" spans="1:18" s="8" customFormat="1">
      <c r="A7" s="6">
        <f t="shared" ca="1" si="0"/>
        <v>2</v>
      </c>
      <c r="B7" s="24" t="s">
        <v>49</v>
      </c>
      <c r="C7" s="25" t="s">
        <v>52</v>
      </c>
      <c r="D7" s="7"/>
      <c r="E7" s="7"/>
      <c r="F7" s="24" t="s">
        <v>57</v>
      </c>
      <c r="J7" s="14">
        <f t="shared" ref="J7:J18" ca="1" si="1">INDIRECT(ADDRESS(ROW()-1,COLUMN()))+1</f>
        <v>2</v>
      </c>
      <c r="K7" s="16">
        <f ca="1">(INDIRECT("D"&amp;ROW()))</f>
        <v>0</v>
      </c>
      <c r="L7" s="18">
        <f ca="1">(INDIRECT("E"&amp;ROW()))</f>
        <v>0</v>
      </c>
      <c r="M7" s="16"/>
      <c r="N7" s="16"/>
    </row>
    <row r="8" spans="1:18" s="8" customFormat="1">
      <c r="A8" s="6">
        <f t="shared" ca="1" si="0"/>
        <v>3</v>
      </c>
      <c r="B8" s="24" t="s">
        <v>45</v>
      </c>
      <c r="C8" s="25" t="s">
        <v>52</v>
      </c>
      <c r="D8" s="7"/>
      <c r="E8" s="7"/>
      <c r="F8" s="24" t="s">
        <v>50</v>
      </c>
      <c r="J8" s="14">
        <f t="shared" ca="1" si="1"/>
        <v>3</v>
      </c>
      <c r="K8" s="16">
        <f ca="1">(INDIRECT("D"&amp;ROW()))</f>
        <v>0</v>
      </c>
      <c r="L8" s="18">
        <f ca="1">(INDIRECT("E"&amp;ROW()))</f>
        <v>0</v>
      </c>
      <c r="M8" s="16"/>
      <c r="N8" s="16"/>
    </row>
    <row r="9" spans="1:18" s="8" customFormat="1">
      <c r="A9" s="6">
        <f t="shared" ca="1" si="0"/>
        <v>4</v>
      </c>
      <c r="B9" s="24" t="s">
        <v>46</v>
      </c>
      <c r="C9" s="25" t="s">
        <v>52</v>
      </c>
      <c r="D9" s="7"/>
      <c r="E9" s="7"/>
      <c r="F9" s="24" t="s">
        <v>58</v>
      </c>
      <c r="J9" s="14">
        <f t="shared" ca="1" si="1"/>
        <v>4</v>
      </c>
      <c r="K9" s="16">
        <f ca="1">(INDIRECT("D"&amp;ROW()))</f>
        <v>0</v>
      </c>
      <c r="L9" s="18">
        <f ca="1">(INDIRECT("E"&amp;ROW()))</f>
        <v>0</v>
      </c>
      <c r="M9" s="16"/>
      <c r="N9" s="16"/>
    </row>
    <row r="10" spans="1:18" s="8" customFormat="1">
      <c r="A10" s="6">
        <f t="shared" ca="1" si="0"/>
        <v>5</v>
      </c>
      <c r="B10" s="24" t="s">
        <v>62</v>
      </c>
      <c r="C10" s="25" t="s">
        <v>52</v>
      </c>
      <c r="D10" s="7"/>
      <c r="E10" s="7"/>
      <c r="F10" s="24" t="s">
        <v>59</v>
      </c>
      <c r="J10" s="14">
        <f t="shared" ca="1" si="1"/>
        <v>5</v>
      </c>
      <c r="K10" s="16">
        <f ca="1">(INDIRECT("D"&amp;ROW()))</f>
        <v>0</v>
      </c>
      <c r="L10" s="18">
        <f ca="1">(INDIRECT("E"&amp;ROW()))</f>
        <v>0</v>
      </c>
      <c r="M10" s="16"/>
      <c r="N10" s="16"/>
    </row>
    <row r="11" spans="1:18" s="8" customFormat="1">
      <c r="A11" s="6">
        <f t="shared" ref="A11:A12" ca="1" si="2">J11</f>
        <v>6</v>
      </c>
      <c r="B11" s="24" t="s">
        <v>60</v>
      </c>
      <c r="C11" s="25" t="s">
        <v>52</v>
      </c>
      <c r="D11" s="7"/>
      <c r="E11" s="7"/>
      <c r="F11" s="24"/>
      <c r="J11" s="14">
        <f t="shared" ca="1" si="1"/>
        <v>6</v>
      </c>
      <c r="K11" s="16">
        <f t="shared" ref="K11:K18" ca="1" si="3">(INDIRECT("D"&amp;ROW()))</f>
        <v>0</v>
      </c>
      <c r="L11" s="18">
        <f t="shared" ref="L11:L18" ca="1" si="4">(INDIRECT("E"&amp;ROW()))</f>
        <v>0</v>
      </c>
      <c r="M11" s="16"/>
      <c r="N11" s="16"/>
    </row>
    <row r="12" spans="1:18" s="8" customFormat="1" ht="45">
      <c r="A12" s="6">
        <f t="shared" ca="1" si="2"/>
        <v>7</v>
      </c>
      <c r="B12" s="24" t="s">
        <v>61</v>
      </c>
      <c r="C12" s="25" t="s">
        <v>52</v>
      </c>
      <c r="D12" s="7"/>
      <c r="E12" s="7"/>
      <c r="F12" s="24"/>
      <c r="J12" s="14">
        <f t="shared" ca="1" si="1"/>
        <v>7</v>
      </c>
      <c r="K12" s="16">
        <f t="shared" ca="1" si="3"/>
        <v>0</v>
      </c>
      <c r="L12" s="18">
        <f t="shared" ca="1" si="4"/>
        <v>0</v>
      </c>
      <c r="M12" s="16"/>
      <c r="N12" s="16"/>
    </row>
    <row r="13" spans="1:18" s="8" customFormat="1" ht="75">
      <c r="A13" s="6">
        <f t="shared" ref="A13:A18" ca="1" si="5">J13</f>
        <v>8</v>
      </c>
      <c r="B13" s="24" t="s">
        <v>63</v>
      </c>
      <c r="C13" s="25" t="s">
        <v>52</v>
      </c>
      <c r="D13" s="7"/>
      <c r="E13" s="7"/>
      <c r="F13" s="24"/>
      <c r="J13" s="14">
        <f t="shared" ca="1" si="1"/>
        <v>8</v>
      </c>
      <c r="K13" s="16">
        <f t="shared" ca="1" si="3"/>
        <v>0</v>
      </c>
      <c r="L13" s="18">
        <f t="shared" ca="1" si="4"/>
        <v>0</v>
      </c>
      <c r="M13" s="16"/>
      <c r="N13" s="16"/>
    </row>
    <row r="14" spans="1:18" s="8" customFormat="1" ht="30">
      <c r="A14" s="6">
        <f t="shared" ref="A14" ca="1" si="6">J14</f>
        <v>9</v>
      </c>
      <c r="B14" s="24" t="s">
        <v>64</v>
      </c>
      <c r="C14" s="25"/>
      <c r="D14" s="7"/>
      <c r="E14" s="7"/>
      <c r="F14" s="24"/>
      <c r="J14" s="14">
        <f t="shared" ca="1" si="1"/>
        <v>9</v>
      </c>
      <c r="K14" s="16">
        <f t="shared" ca="1" si="3"/>
        <v>0</v>
      </c>
      <c r="L14" s="18">
        <f t="shared" ca="1" si="4"/>
        <v>0</v>
      </c>
      <c r="M14" s="16"/>
      <c r="N14" s="16"/>
    </row>
    <row r="15" spans="1:18" s="8" customFormat="1" ht="30">
      <c r="A15" s="6">
        <f t="shared" ca="1" si="5"/>
        <v>10</v>
      </c>
      <c r="B15" s="24" t="s">
        <v>47</v>
      </c>
      <c r="C15" s="25" t="s">
        <v>52</v>
      </c>
      <c r="D15" s="7"/>
      <c r="E15" s="7"/>
      <c r="F15" s="24" t="s">
        <v>51</v>
      </c>
      <c r="J15" s="14">
        <f t="shared" ca="1" si="1"/>
        <v>10</v>
      </c>
      <c r="K15" s="16">
        <f t="shared" ca="1" si="3"/>
        <v>0</v>
      </c>
      <c r="L15" s="18">
        <f t="shared" ca="1" si="4"/>
        <v>0</v>
      </c>
      <c r="M15" s="16"/>
      <c r="N15" s="16"/>
    </row>
    <row r="16" spans="1:18" s="8" customFormat="1" ht="30">
      <c r="A16" s="6">
        <f t="shared" ca="1" si="5"/>
        <v>11</v>
      </c>
      <c r="B16" s="24" t="s">
        <v>48</v>
      </c>
      <c r="C16" s="25" t="s">
        <v>52</v>
      </c>
      <c r="D16" s="7"/>
      <c r="E16" s="7"/>
      <c r="F16" s="24" t="s">
        <v>51</v>
      </c>
      <c r="J16" s="14">
        <f t="shared" ca="1" si="1"/>
        <v>11</v>
      </c>
      <c r="K16" s="16">
        <f t="shared" ca="1" si="3"/>
        <v>0</v>
      </c>
      <c r="L16" s="18">
        <f t="shared" ca="1" si="4"/>
        <v>0</v>
      </c>
      <c r="M16" s="16"/>
      <c r="N16" s="16"/>
    </row>
    <row r="17" spans="1:14" s="8" customFormat="1" ht="30">
      <c r="A17" s="6">
        <f t="shared" ca="1" si="5"/>
        <v>12</v>
      </c>
      <c r="B17" s="24" t="s">
        <v>56</v>
      </c>
      <c r="C17" s="25"/>
      <c r="D17" s="7"/>
      <c r="E17" s="7"/>
      <c r="F17" s="24"/>
      <c r="J17" s="14">
        <f t="shared" ca="1" si="1"/>
        <v>12</v>
      </c>
      <c r="K17" s="16">
        <f t="shared" ca="1" si="3"/>
        <v>0</v>
      </c>
      <c r="L17" s="18">
        <f t="shared" ca="1" si="4"/>
        <v>0</v>
      </c>
      <c r="M17" s="16"/>
      <c r="N17" s="16"/>
    </row>
    <row r="18" spans="1:14" s="8" customFormat="1" ht="30">
      <c r="A18" s="6">
        <f t="shared" ca="1" si="5"/>
        <v>13</v>
      </c>
      <c r="B18" s="24" t="s">
        <v>65</v>
      </c>
      <c r="C18" s="24"/>
      <c r="D18" s="7"/>
      <c r="E18" s="7"/>
      <c r="F18" s="24"/>
      <c r="J18" s="14">
        <f t="shared" ca="1" si="1"/>
        <v>13</v>
      </c>
      <c r="K18" s="16">
        <f t="shared" ca="1" si="3"/>
        <v>0</v>
      </c>
      <c r="L18" s="18">
        <f t="shared" ca="1" si="4"/>
        <v>0</v>
      </c>
      <c r="M18" s="16"/>
      <c r="N18" s="16"/>
    </row>
    <row r="19" spans="1:14" s="8" customFormat="1">
      <c r="A19" s="35"/>
      <c r="B19" s="38"/>
      <c r="C19" s="9" t="s">
        <v>14</v>
      </c>
      <c r="D19" s="23">
        <f ca="1">SUM($K$2:$K$1004)</f>
        <v>0</v>
      </c>
      <c r="E19" s="23">
        <f ca="1">SUM($L$2:$L$1004)</f>
        <v>0</v>
      </c>
      <c r="F19" s="35"/>
      <c r="J19" s="14"/>
      <c r="K19" s="16"/>
      <c r="L19" s="16"/>
      <c r="M19" s="16"/>
      <c r="N19" s="16"/>
    </row>
    <row r="20" spans="1:14" s="8" customFormat="1">
      <c r="A20" s="35"/>
      <c r="B20" s="35"/>
      <c r="C20" s="9" t="s">
        <v>15</v>
      </c>
      <c r="D20" s="10">
        <f ca="1">SUM($K$2:$K$1004)/1440</f>
        <v>0</v>
      </c>
      <c r="E20" s="10">
        <f ca="1">SUM($L$2:$L$1004)/1440</f>
        <v>0</v>
      </c>
      <c r="F20" s="35"/>
      <c r="G20" s="11"/>
      <c r="J20" s="14"/>
      <c r="K20" s="16"/>
      <c r="L20" s="16"/>
      <c r="M20" s="16"/>
      <c r="N20" s="16"/>
    </row>
    <row r="21" spans="1:14">
      <c r="A21" s="35"/>
      <c r="B21" s="35"/>
      <c r="C21" s="35"/>
      <c r="D21" s="13"/>
      <c r="E21" s="13"/>
      <c r="F21" s="35"/>
      <c r="M21" s="16"/>
    </row>
    <row r="22" spans="1:14">
      <c r="A22" s="4" t="s">
        <v>16</v>
      </c>
      <c r="B22" s="45" t="s">
        <v>17</v>
      </c>
      <c r="C22" s="45"/>
      <c r="D22" s="45"/>
      <c r="E22" s="45"/>
      <c r="F22" s="45"/>
      <c r="M22" s="16"/>
    </row>
    <row r="23" spans="1:14" ht="30">
      <c r="A23" s="36" t="s">
        <v>8</v>
      </c>
      <c r="B23" s="36" t="s">
        <v>9</v>
      </c>
      <c r="C23" s="36" t="s">
        <v>10</v>
      </c>
      <c r="D23" s="36" t="s">
        <v>11</v>
      </c>
      <c r="E23" s="36" t="s">
        <v>12</v>
      </c>
      <c r="F23" s="36" t="s">
        <v>13</v>
      </c>
      <c r="J23" s="14">
        <v>0</v>
      </c>
      <c r="M23" s="16"/>
    </row>
    <row r="24" spans="1:14">
      <c r="A24" s="12">
        <f ca="1">J24</f>
        <v>1</v>
      </c>
      <c r="B24" s="24" t="s">
        <v>54</v>
      </c>
      <c r="C24" s="24"/>
      <c r="D24" s="7"/>
      <c r="E24" s="7"/>
      <c r="F24" s="24"/>
      <c r="J24" s="14">
        <f ca="1">INDIRECT(ADDRESS(ROW()-1,COLUMN()))+1</f>
        <v>1</v>
      </c>
      <c r="K24" s="18"/>
      <c r="L24" s="18"/>
      <c r="M24" s="16">
        <f ca="1">(INDIRECT("D"&amp;ROW()))</f>
        <v>0</v>
      </c>
      <c r="N24" s="18">
        <f ca="1">(INDIRECT("E"&amp;ROW()))</f>
        <v>0</v>
      </c>
    </row>
    <row r="25" spans="1:14">
      <c r="A25" s="12">
        <f t="shared" ref="A25" ca="1" si="7">J25</f>
        <v>2</v>
      </c>
      <c r="B25" s="24" t="s">
        <v>55</v>
      </c>
      <c r="C25" s="24"/>
      <c r="D25" s="7"/>
      <c r="E25" s="7"/>
      <c r="F25" s="24"/>
      <c r="J25" s="14">
        <f t="shared" ref="J25" ca="1" si="8">INDIRECT(ADDRESS(ROW()-1,COLUMN()))+1</f>
        <v>2</v>
      </c>
      <c r="K25" s="18"/>
      <c r="L25" s="18"/>
      <c r="M25" s="16">
        <f ca="1">(INDIRECT("D"&amp;ROW()))</f>
        <v>0</v>
      </c>
      <c r="N25" s="18">
        <f ca="1">(INDIRECT("E"&amp;ROW()))</f>
        <v>0</v>
      </c>
    </row>
    <row r="26" spans="1:14" s="8" customFormat="1">
      <c r="A26" s="35"/>
      <c r="B26" s="35"/>
      <c r="C26" s="9" t="s">
        <v>14</v>
      </c>
      <c r="D26" s="23">
        <f ca="1">SUM($M$2:$M$1004)</f>
        <v>0</v>
      </c>
      <c r="E26" s="23">
        <f ca="1">SUM($N$2:$N$1004)</f>
        <v>0</v>
      </c>
      <c r="F26" s="35"/>
      <c r="J26" s="14"/>
      <c r="K26" s="18"/>
      <c r="L26" s="18"/>
      <c r="M26" s="17"/>
      <c r="N26" s="17"/>
    </row>
    <row r="27" spans="1:14" s="8" customFormat="1">
      <c r="A27" s="35"/>
      <c r="B27" s="35"/>
      <c r="C27" s="9" t="s">
        <v>15</v>
      </c>
      <c r="D27" s="10">
        <f ca="1">SUM($M$2:$M$1004)/1440</f>
        <v>0</v>
      </c>
      <c r="E27" s="10">
        <f ca="1">SUM($N$2:$N$1004)/1440</f>
        <v>0</v>
      </c>
      <c r="F27" s="35"/>
      <c r="G27" s="11"/>
      <c r="J27" s="14"/>
      <c r="K27" s="18"/>
      <c r="L27" s="18"/>
      <c r="M27" s="17"/>
      <c r="N27" s="17"/>
    </row>
    <row r="28" spans="1:14">
      <c r="A28" s="35"/>
      <c r="B28" s="35"/>
      <c r="C28" s="35"/>
      <c r="D28" s="13"/>
      <c r="E28" s="13"/>
      <c r="F28" s="35"/>
    </row>
    <row r="29" spans="1:14">
      <c r="A29" s="4" t="s">
        <v>18</v>
      </c>
      <c r="B29" s="46" t="s">
        <v>17</v>
      </c>
      <c r="C29" s="47"/>
      <c r="D29" s="47"/>
      <c r="E29" s="47"/>
      <c r="F29" s="35"/>
    </row>
    <row r="30" spans="1:14">
      <c r="A30" s="4" t="s">
        <v>19</v>
      </c>
      <c r="B30" s="36" t="s">
        <v>20</v>
      </c>
      <c r="C30" s="48" t="s">
        <v>21</v>
      </c>
      <c r="D30" s="47"/>
      <c r="E30" s="47"/>
      <c r="F30" s="35"/>
      <c r="J30" s="14">
        <v>0</v>
      </c>
    </row>
    <row r="31" spans="1:14">
      <c r="A31" s="12">
        <f ca="1">J31</f>
        <v>1</v>
      </c>
      <c r="B31" s="26"/>
      <c r="C31" s="25"/>
      <c r="D31" s="27"/>
      <c r="E31" s="28"/>
      <c r="F31" s="35"/>
      <c r="J31" s="14">
        <f ca="1">INDIRECT(ADDRESS(ROW()-1,COLUMN()))+1</f>
        <v>1</v>
      </c>
    </row>
    <row r="32" spans="1:14">
      <c r="A32" s="41"/>
      <c r="B32" s="41"/>
      <c r="C32" s="35"/>
      <c r="D32" s="35"/>
      <c r="E32" s="35"/>
      <c r="F32" s="35"/>
    </row>
    <row r="33" spans="1:6">
      <c r="A33" s="41"/>
      <c r="B33" s="41"/>
      <c r="C33" s="35"/>
      <c r="D33" s="35"/>
      <c r="E33" s="35"/>
      <c r="F33" s="35"/>
    </row>
    <row r="34" spans="1:6">
      <c r="A34" s="41"/>
      <c r="B34" s="41"/>
      <c r="C34" s="35"/>
      <c r="D34" s="35"/>
      <c r="E34" s="35"/>
      <c r="F34" s="35"/>
    </row>
    <row r="35" spans="1:6">
      <c r="A35" s="41"/>
      <c r="B35" s="41"/>
      <c r="C35" s="35"/>
      <c r="D35" s="35"/>
      <c r="E35" s="35"/>
      <c r="F35" s="35"/>
    </row>
    <row r="36" spans="1:6">
      <c r="A36" s="41"/>
      <c r="B36" s="41"/>
      <c r="C36" s="35"/>
      <c r="D36" s="35"/>
      <c r="E36" s="35"/>
      <c r="F36" s="35"/>
    </row>
    <row r="37" spans="1:6">
      <c r="A37" s="41"/>
      <c r="B37" s="41"/>
      <c r="C37" s="35"/>
      <c r="D37" s="35"/>
      <c r="E37" s="35"/>
      <c r="F37" s="35"/>
    </row>
    <row r="38" spans="1:6">
      <c r="A38" s="41"/>
      <c r="B38" s="41"/>
      <c r="C38" s="35"/>
      <c r="D38" s="35"/>
      <c r="E38" s="35"/>
      <c r="F38" s="35"/>
    </row>
    <row r="39" spans="1:6">
      <c r="A39" s="41"/>
      <c r="B39" s="41"/>
      <c r="C39" s="35"/>
      <c r="D39" s="35"/>
      <c r="E39" s="35"/>
      <c r="F39" s="35"/>
    </row>
    <row r="40" spans="1:6">
      <c r="A40" s="41"/>
      <c r="B40" s="41"/>
      <c r="C40" s="35"/>
      <c r="D40" s="35"/>
      <c r="E40" s="35"/>
      <c r="F40" s="35"/>
    </row>
    <row r="41" spans="1:6">
      <c r="A41" s="41"/>
      <c r="B41" s="41"/>
      <c r="C41" s="35"/>
      <c r="D41" s="35"/>
      <c r="E41" s="35"/>
      <c r="F41" s="35"/>
    </row>
    <row r="42" spans="1:6">
      <c r="A42" s="41"/>
      <c r="B42" s="41"/>
      <c r="C42" s="35"/>
      <c r="D42" s="35"/>
      <c r="E42" s="35"/>
      <c r="F42" s="35"/>
    </row>
    <row r="43" spans="1:6">
      <c r="A43" s="41"/>
      <c r="B43" s="41"/>
      <c r="C43" s="35"/>
      <c r="D43" s="35"/>
      <c r="E43" s="35"/>
      <c r="F43" s="35"/>
    </row>
    <row r="44" spans="1:6">
      <c r="A44" s="41"/>
      <c r="B44" s="41"/>
      <c r="C44" s="35"/>
      <c r="D44" s="35"/>
      <c r="E44" s="35"/>
      <c r="F44" s="35"/>
    </row>
    <row r="45" spans="1:6">
      <c r="A45" s="41"/>
      <c r="B45" s="41"/>
      <c r="C45" s="35"/>
      <c r="D45" s="35"/>
      <c r="E45" s="35"/>
      <c r="F45" s="35"/>
    </row>
    <row r="46" spans="1:6">
      <c r="A46" s="41"/>
      <c r="B46" s="41"/>
      <c r="C46" s="35"/>
      <c r="D46" s="35"/>
      <c r="E46" s="35"/>
      <c r="F46" s="35"/>
    </row>
    <row r="47" spans="1:6">
      <c r="A47" s="41"/>
      <c r="B47" s="41"/>
      <c r="C47" s="35"/>
      <c r="D47" s="35"/>
      <c r="E47" s="35"/>
      <c r="F47" s="35"/>
    </row>
    <row r="48" spans="1:6">
      <c r="A48" s="41"/>
      <c r="B48" s="41"/>
      <c r="C48" s="35"/>
      <c r="D48" s="35"/>
      <c r="E48" s="35"/>
      <c r="F48" s="35"/>
    </row>
    <row r="49" spans="1:6">
      <c r="A49" s="35"/>
      <c r="B49" s="35"/>
      <c r="C49" s="35"/>
      <c r="D49" s="35"/>
      <c r="E49" s="35"/>
      <c r="F49" s="35"/>
    </row>
    <row r="50" spans="1:6">
      <c r="A50" s="35"/>
      <c r="B50" s="35"/>
      <c r="C50" s="35"/>
      <c r="D50" s="35"/>
      <c r="E50" s="35"/>
      <c r="F50" s="35"/>
    </row>
    <row r="51" spans="1:6">
      <c r="A51" s="35"/>
      <c r="B51" s="35"/>
      <c r="C51" s="35"/>
      <c r="D51" s="35"/>
      <c r="E51" s="35"/>
      <c r="F51" s="35"/>
    </row>
    <row r="52" spans="1:6">
      <c r="A52" s="13"/>
      <c r="B52" s="13"/>
      <c r="C52" s="13"/>
      <c r="D52" s="13"/>
      <c r="E52" s="13"/>
      <c r="F52" s="13"/>
    </row>
    <row r="53" spans="1:6">
      <c r="A53" s="13"/>
      <c r="B53" s="13"/>
      <c r="C53" s="13"/>
      <c r="D53" s="13"/>
      <c r="E53" s="13"/>
      <c r="F53" s="13"/>
    </row>
    <row r="54" spans="1:6">
      <c r="A54" s="13"/>
      <c r="B54" s="13"/>
      <c r="C54" s="13"/>
      <c r="D54" s="13"/>
      <c r="E54" s="13"/>
      <c r="F54" s="13"/>
    </row>
  </sheetData>
  <sheetProtection password="F941" sheet="1" objects="1" scenarios="1"/>
  <mergeCells count="22">
    <mergeCell ref="A48:B48"/>
    <mergeCell ref="A37:B37"/>
    <mergeCell ref="A38:B38"/>
    <mergeCell ref="A39:B39"/>
    <mergeCell ref="A40:B40"/>
    <mergeCell ref="A41:B41"/>
    <mergeCell ref="A42:B42"/>
    <mergeCell ref="A43:B43"/>
    <mergeCell ref="A44:B44"/>
    <mergeCell ref="A45:B45"/>
    <mergeCell ref="A46:B46"/>
    <mergeCell ref="A47:B47"/>
    <mergeCell ref="A36:B36"/>
    <mergeCell ref="C1:E1"/>
    <mergeCell ref="B4:F4"/>
    <mergeCell ref="B22:F22"/>
    <mergeCell ref="B29:E29"/>
    <mergeCell ref="C30:E30"/>
    <mergeCell ref="A32:B32"/>
    <mergeCell ref="A33:B33"/>
    <mergeCell ref="A34:B34"/>
    <mergeCell ref="A35:B35"/>
  </mergeCells>
  <dataValidations count="3">
    <dataValidation type="whole" operator="greaterThan" allowBlank="1" showInputMessage="1" showErrorMessage="1" sqref="D26:E26 D19:E19">
      <formula1>0</formula1>
    </dataValidation>
    <dataValidation type="whole" allowBlank="1" showInputMessage="1" showErrorMessage="1" errorTitle="Step Number Error" error="Please enter a number from 1 to 1000" sqref="A31 A24:A25 A6:A18">
      <formula1>1</formula1>
      <formula2>1000</formula2>
    </dataValidation>
    <dataValidation type="whole" operator="greaterThanOrEqual" allowBlank="1" showInputMessage="1" showErrorMessage="1" errorTitle="Invalid Time" error="Please enter at least 1 minute." sqref="D24:E25 D6:E18">
      <formula1>1</formula1>
    </dataValidation>
  </dataValidations>
  <pageMargins left="0.7" right="0.7" top="0.75" bottom="0.75" header="0.3" footer="0.3"/>
  <pageSetup orientation="portrait" horizontalDpi="4294967293" verticalDpi="4294967293" r:id="rId1"/>
  <legacyDrawing r:id="rId2"/>
</worksheet>
</file>

<file path=xl/worksheets/sheet3.xml><?xml version="1.0" encoding="utf-8"?>
<worksheet xmlns="http://schemas.openxmlformats.org/spreadsheetml/2006/main" xmlns:r="http://schemas.openxmlformats.org/officeDocument/2006/relationships">
  <sheetPr codeName="Sheet3"/>
  <dimension ref="A1:A28"/>
  <sheetViews>
    <sheetView workbookViewId="0">
      <selection activeCell="A3" sqref="A3"/>
    </sheetView>
  </sheetViews>
  <sheetFormatPr defaultRowHeight="15"/>
  <cols>
    <col min="1" max="1" width="102.42578125" style="20" customWidth="1"/>
    <col min="2" max="16384" width="9.140625" style="20"/>
  </cols>
  <sheetData>
    <row r="1" spans="1:1">
      <c r="A1" s="19" t="s">
        <v>22</v>
      </c>
    </row>
    <row r="2" spans="1:1">
      <c r="A2" s="20" t="s">
        <v>23</v>
      </c>
    </row>
    <row r="3" spans="1:1" ht="45">
      <c r="A3" s="21" t="s">
        <v>24</v>
      </c>
    </row>
    <row r="4" spans="1:1" ht="45">
      <c r="A4" s="21" t="s">
        <v>25</v>
      </c>
    </row>
    <row r="6" spans="1:1">
      <c r="A6" s="29" t="s">
        <v>26</v>
      </c>
    </row>
    <row r="7" spans="1:1">
      <c r="A7" s="30" t="s">
        <v>27</v>
      </c>
    </row>
    <row r="8" spans="1:1">
      <c r="A8" s="30" t="s">
        <v>28</v>
      </c>
    </row>
    <row r="9" spans="1:1">
      <c r="A9" s="30" t="s">
        <v>29</v>
      </c>
    </row>
    <row r="10" spans="1:1">
      <c r="A10" s="30" t="s">
        <v>30</v>
      </c>
    </row>
    <row r="11" spans="1:1">
      <c r="A11" s="30" t="s">
        <v>31</v>
      </c>
    </row>
    <row r="12" spans="1:1">
      <c r="A12" s="30" t="s">
        <v>32</v>
      </c>
    </row>
    <row r="13" spans="1:1">
      <c r="A13" s="30"/>
    </row>
    <row r="14" spans="1:1">
      <c r="A14" s="31" t="s">
        <v>33</v>
      </c>
    </row>
    <row r="15" spans="1:1">
      <c r="A15" s="30" t="s">
        <v>34</v>
      </c>
    </row>
    <row r="16" spans="1:1">
      <c r="A16" s="30" t="s">
        <v>35</v>
      </c>
    </row>
    <row r="17" spans="1:1">
      <c r="A17" s="30" t="s">
        <v>36</v>
      </c>
    </row>
    <row r="18" spans="1:1">
      <c r="A18" s="30" t="s">
        <v>30</v>
      </c>
    </row>
    <row r="19" spans="1:1">
      <c r="A19" s="30" t="s">
        <v>31</v>
      </c>
    </row>
    <row r="20" spans="1:1">
      <c r="A20" s="30" t="s">
        <v>32</v>
      </c>
    </row>
    <row r="21" spans="1:1">
      <c r="A21" s="32"/>
    </row>
    <row r="22" spans="1:1">
      <c r="A22" s="30" t="s">
        <v>37</v>
      </c>
    </row>
    <row r="23" spans="1:1">
      <c r="A23" s="32" t="s">
        <v>42</v>
      </c>
    </row>
    <row r="24" spans="1:1" ht="38.25">
      <c r="A24" s="33" t="s">
        <v>43</v>
      </c>
    </row>
    <row r="26" spans="1:1">
      <c r="A26" s="20" t="s">
        <v>38</v>
      </c>
    </row>
    <row r="27" spans="1:1" ht="30">
      <c r="A27" s="22" t="s">
        <v>39</v>
      </c>
    </row>
    <row r="28" spans="1:1">
      <c r="A28" s="34" t="s">
        <v>40</v>
      </c>
    </row>
  </sheetData>
  <sheetProtection password="F941" sheet="1" objects="1" scenarios="1" selectLockedCells="1" selectUnlockedCell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4BBECBF480587498BF59F213F405930" ma:contentTypeVersion="0" ma:contentTypeDescription="Create a new document." ma:contentTypeScope="" ma:versionID="06d2ea22d0746675d04c68bb365e91f6">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948C440-6678-4717-865A-4E6FFDF9705F}">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openxmlformats.org/package/2006/metadata/core-properties"/>
  </ds:schemaRefs>
</ds:datastoreItem>
</file>

<file path=customXml/itemProps2.xml><?xml version="1.0" encoding="utf-8"?>
<ds:datastoreItem xmlns:ds="http://schemas.openxmlformats.org/officeDocument/2006/customXml" ds:itemID="{E6DE6832-AFE0-4FDD-8B1F-A3E60777E2C6}">
  <ds:schemaRefs>
    <ds:schemaRef ds:uri="http://schemas.microsoft.com/sharepoint/v3/contenttype/forms"/>
  </ds:schemaRefs>
</ds:datastoreItem>
</file>

<file path=customXml/itemProps3.xml><?xml version="1.0" encoding="utf-8"?>
<ds:datastoreItem xmlns:ds="http://schemas.openxmlformats.org/officeDocument/2006/customXml" ds:itemID="{D8DC68A6-F545-4BA1-9EC7-815B5B54E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Macros</vt:lpstr>
    </vt:vector>
  </TitlesOfParts>
  <Company>Grizli777</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JaY</dc:creator>
  <cp:lastModifiedBy>Jonathan Steele</cp:lastModifiedBy>
  <dcterms:created xsi:type="dcterms:W3CDTF">2010-03-26T06:12:45Z</dcterms:created>
  <dcterms:modified xsi:type="dcterms:W3CDTF">2010-05-27T19:02:49Z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0x01010064BBECBF480587498BF59F213F405930</vt:lpwstr>
  </property>
</Properties>
</file>